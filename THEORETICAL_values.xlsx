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 LAP\Desktop\"/>
    </mc:Choice>
  </mc:AlternateContent>
  <bookViews>
    <workbookView xWindow="0" yWindow="0" windowWidth="20490" windowHeight="775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18" i="2"/>
  <c r="E19" i="2"/>
  <c r="E20" i="2"/>
  <c r="E21" i="2"/>
  <c r="E22" i="2"/>
  <c r="E23" i="2"/>
  <c r="D17" i="2"/>
  <c r="D18" i="2"/>
  <c r="D19" i="2"/>
  <c r="D20" i="2"/>
  <c r="D21" i="2"/>
  <c r="D22" i="2"/>
  <c r="D23" i="2"/>
  <c r="D16" i="2"/>
  <c r="E16" i="2"/>
  <c r="C17" i="2"/>
  <c r="C18" i="2"/>
  <c r="C19" i="2"/>
  <c r="C20" i="2"/>
  <c r="C21" i="2"/>
  <c r="C22" i="2"/>
  <c r="C23" i="2"/>
  <c r="H20" i="2"/>
  <c r="J11" i="2"/>
  <c r="J10" i="2"/>
  <c r="J9" i="2"/>
  <c r="J8" i="2"/>
  <c r="I11" i="2"/>
  <c r="I10" i="2"/>
  <c r="I9" i="2"/>
  <c r="I8" i="2"/>
  <c r="H11" i="2"/>
  <c r="H10" i="2"/>
  <c r="H9" i="2"/>
  <c r="H8" i="2"/>
  <c r="T9" i="2"/>
  <c r="T6" i="2"/>
  <c r="T12" i="2" s="1"/>
  <c r="R6" i="2"/>
  <c r="R9" i="2"/>
  <c r="R12" i="2"/>
  <c r="J23" i="2"/>
  <c r="J22" i="2"/>
  <c r="J21" i="2"/>
  <c r="J20" i="2"/>
  <c r="I23" i="2"/>
  <c r="I22" i="2"/>
  <c r="I21" i="2"/>
  <c r="I20" i="2"/>
  <c r="H23" i="2"/>
  <c r="H22" i="2"/>
  <c r="H21" i="2"/>
  <c r="J18" i="2"/>
  <c r="J19" i="2"/>
  <c r="J17" i="2"/>
  <c r="I19" i="2"/>
  <c r="I18" i="2"/>
  <c r="I17" i="2"/>
  <c r="J16" i="2"/>
  <c r="I16" i="2"/>
  <c r="H19" i="2"/>
  <c r="H18" i="2"/>
  <c r="H17" i="2"/>
  <c r="H16" i="2"/>
  <c r="M11" i="2"/>
  <c r="N11" i="2"/>
  <c r="L11" i="2"/>
  <c r="M7" i="2"/>
  <c r="N7" i="2"/>
  <c r="L7" i="2"/>
  <c r="J7" i="2"/>
  <c r="J4" i="2"/>
  <c r="I7" i="2"/>
  <c r="I4" i="2"/>
  <c r="H7" i="2"/>
  <c r="H4" i="2"/>
  <c r="H5" i="2" l="1"/>
  <c r="I5" i="2"/>
  <c r="J5" i="2"/>
  <c r="H6" i="2"/>
  <c r="I6" i="2"/>
  <c r="J6" i="2"/>
  <c r="C16" i="2"/>
</calcChain>
</file>

<file path=xl/sharedStrings.xml><?xml version="1.0" encoding="utf-8"?>
<sst xmlns="http://schemas.openxmlformats.org/spreadsheetml/2006/main" count="39" uniqueCount="23">
  <si>
    <t>d</t>
  </si>
  <si>
    <t>n</t>
  </si>
  <si>
    <t>k1</t>
  </si>
  <si>
    <t>da</t>
  </si>
  <si>
    <t>Ec</t>
  </si>
  <si>
    <t>Et</t>
  </si>
  <si>
    <t>λ</t>
  </si>
  <si>
    <t>ft*</t>
  </si>
  <si>
    <t>MIX 1</t>
  </si>
  <si>
    <t>MIX 2</t>
  </si>
  <si>
    <t>MIX 3</t>
  </si>
  <si>
    <t>AVG</t>
  </si>
  <si>
    <t>a</t>
  </si>
  <si>
    <t>λo</t>
  </si>
  <si>
    <t>(100mm)</t>
  </si>
  <si>
    <t>(150mm)</t>
  </si>
  <si>
    <t>ft'</t>
  </si>
  <si>
    <t>0.1 fck</t>
  </si>
  <si>
    <t>λ/λo</t>
  </si>
  <si>
    <t>B</t>
  </si>
  <si>
    <t>σn</t>
  </si>
  <si>
    <t>100 MM CUBE</t>
  </si>
  <si>
    <t>150 MM 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</si>
</sst>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3"/>
  <sheetViews>
    <sheetView tabSelected="1" topLeftCell="A4" workbookViewId="0">
      <selection activeCell="O19" sqref="O19"/>
    </sheetView>
  </sheetViews>
  <sheetFormatPr defaultRowHeight="15" x14ac:dyDescent="0.25"/>
  <sheetData>
    <row r="2" spans="1:20" x14ac:dyDescent="0.25">
      <c r="H2" t="s">
        <v>7</v>
      </c>
      <c r="L2" t="s">
        <v>4</v>
      </c>
      <c r="Q2" s="2" t="s">
        <v>21</v>
      </c>
      <c r="R2" s="2"/>
      <c r="S2" s="2" t="s">
        <v>22</v>
      </c>
      <c r="T2" s="2"/>
    </row>
    <row r="3" spans="1:20" x14ac:dyDescent="0.25">
      <c r="A3" t="s">
        <v>14</v>
      </c>
      <c r="C3" t="s">
        <v>8</v>
      </c>
      <c r="D3" t="s">
        <v>9</v>
      </c>
      <c r="E3" t="s">
        <v>10</v>
      </c>
      <c r="Q3" t="s">
        <v>0</v>
      </c>
      <c r="R3">
        <v>100</v>
      </c>
      <c r="S3" t="s">
        <v>0</v>
      </c>
      <c r="T3">
        <v>150</v>
      </c>
    </row>
    <row r="4" spans="1:20" x14ac:dyDescent="0.25">
      <c r="B4">
        <v>1</v>
      </c>
      <c r="C4">
        <v>52.6</v>
      </c>
      <c r="D4">
        <v>44.51</v>
      </c>
      <c r="E4">
        <v>71.31</v>
      </c>
      <c r="H4">
        <f>((0.1*C4)/(SQRT(1+R12)))</f>
        <v>1.8996887616934381</v>
      </c>
      <c r="I4">
        <f>((0.1*D4)/(SQRT(1+R12)))</f>
        <v>1.6075122962542758</v>
      </c>
      <c r="J4">
        <f>((0.1*E4)/(SQRT(1+R12)))</f>
        <v>2.5754145550638605</v>
      </c>
      <c r="Q4" t="s">
        <v>12</v>
      </c>
      <c r="R4">
        <v>100</v>
      </c>
      <c r="S4" t="s">
        <v>12</v>
      </c>
      <c r="T4">
        <v>150</v>
      </c>
    </row>
    <row r="5" spans="1:20" x14ac:dyDescent="0.25">
      <c r="B5">
        <v>2</v>
      </c>
      <c r="C5">
        <v>56.46</v>
      </c>
      <c r="D5">
        <v>41.67</v>
      </c>
      <c r="E5">
        <v>69.510000000000005</v>
      </c>
      <c r="H5">
        <f>((0.1*C5)/(SQRT(1+R12)))</f>
        <v>2.0390955795667587</v>
      </c>
      <c r="I5">
        <f>((0.1*D5)/(SQRT(1+R12)))</f>
        <v>1.504943549425201</v>
      </c>
      <c r="J5">
        <f>((0.1*E5)/(SQRT(1+R12)))</f>
        <v>2.5104061943975453</v>
      </c>
      <c r="Q5" t="s">
        <v>3</v>
      </c>
      <c r="R5">
        <v>10</v>
      </c>
      <c r="S5" t="s">
        <v>3</v>
      </c>
      <c r="T5">
        <v>10</v>
      </c>
    </row>
    <row r="6" spans="1:20" x14ac:dyDescent="0.25">
      <c r="B6">
        <v>3</v>
      </c>
      <c r="C6">
        <v>54.52</v>
      </c>
      <c r="D6">
        <v>42.82</v>
      </c>
      <c r="E6">
        <v>67.650000000000006</v>
      </c>
      <c r="G6" s="1"/>
      <c r="H6">
        <f>((0.1*C6)/(SQRT(1+R12)))</f>
        <v>1.9690310130708413</v>
      </c>
      <c r="I6">
        <f>((0.1*D6)/(SQRT(1+R12)))</f>
        <v>1.5464766687397911</v>
      </c>
      <c r="J6">
        <f>((0.1*E6)/(SQRT(1+R12)))</f>
        <v>2.4432308883756861</v>
      </c>
      <c r="Q6" s="1" t="s">
        <v>6</v>
      </c>
      <c r="R6">
        <f>R3/R5</f>
        <v>10</v>
      </c>
      <c r="S6" s="1" t="s">
        <v>6</v>
      </c>
      <c r="T6">
        <f>T3/T5</f>
        <v>15</v>
      </c>
    </row>
    <row r="7" spans="1:20" x14ac:dyDescent="0.25">
      <c r="B7" t="s">
        <v>11</v>
      </c>
      <c r="C7">
        <v>54.52</v>
      </c>
      <c r="D7">
        <v>43</v>
      </c>
      <c r="E7">
        <v>69.489999999999995</v>
      </c>
      <c r="H7">
        <f>((0.1*C7)/(SQRT(1+R12)))</f>
        <v>1.9690310130708413</v>
      </c>
      <c r="I7">
        <f>((0.1*D7)/(SQRT(1+R12)))</f>
        <v>1.5529775048064225</v>
      </c>
      <c r="J7">
        <f>((0.1*E7)/(SQRT(1+R12)))</f>
        <v>2.5096838792790304</v>
      </c>
      <c r="L7">
        <f>((2707*SQRT(C7))+5300)</f>
        <v>25287.85449917024</v>
      </c>
      <c r="M7">
        <f t="shared" ref="M7:N7" si="0">((2707*SQRT(D7))+5300)</f>
        <v>23050.986085285516</v>
      </c>
      <c r="N7">
        <f t="shared" si="0"/>
        <v>27865.731253606653</v>
      </c>
      <c r="Q7" s="1" t="s">
        <v>1</v>
      </c>
      <c r="R7">
        <v>3</v>
      </c>
      <c r="S7" s="1" t="s">
        <v>1</v>
      </c>
      <c r="T7">
        <v>3</v>
      </c>
    </row>
    <row r="8" spans="1:20" x14ac:dyDescent="0.25">
      <c r="A8" t="s">
        <v>15</v>
      </c>
      <c r="B8">
        <v>1</v>
      </c>
      <c r="C8">
        <v>55.23</v>
      </c>
      <c r="D8">
        <v>46.15</v>
      </c>
      <c r="E8">
        <v>68.61</v>
      </c>
      <c r="H8">
        <f>((0.1*C8)/(SQRT(1+T12)))</f>
        <v>1.6652471561029885</v>
      </c>
      <c r="I8">
        <f>((0.1*D8)/(SQRT(1+T12)))</f>
        <v>1.3914748552263791</v>
      </c>
      <c r="J8">
        <f>((0.1*E8)/(SQRT(1+T12)))</f>
        <v>2.0686693351480363</v>
      </c>
      <c r="Q8" s="1" t="s">
        <v>2</v>
      </c>
      <c r="R8">
        <v>1</v>
      </c>
      <c r="S8" s="1" t="s">
        <v>2</v>
      </c>
      <c r="T8">
        <v>1</v>
      </c>
    </row>
    <row r="9" spans="1:20" x14ac:dyDescent="0.25">
      <c r="B9">
        <v>2</v>
      </c>
      <c r="C9">
        <v>52.82</v>
      </c>
      <c r="D9">
        <v>45.38</v>
      </c>
      <c r="E9">
        <v>66.069999999999993</v>
      </c>
      <c r="H9">
        <f>((0.1*C9)/(SQRT(1+T12)))</f>
        <v>1.5925829220597474</v>
      </c>
      <c r="I9">
        <f>((0.1*D9)/(SQRT(1+T12)))</f>
        <v>1.3682584816938914</v>
      </c>
      <c r="J9">
        <f>((0.1*E9)/(SQRT(1+T12)))</f>
        <v>1.9920854536252841</v>
      </c>
      <c r="Q9" s="1" t="s">
        <v>13</v>
      </c>
      <c r="R9">
        <f>((R7*R3)/(2*R8*R4))</f>
        <v>1.5</v>
      </c>
      <c r="S9" s="1" t="s">
        <v>13</v>
      </c>
      <c r="T9">
        <f>((T7*T3)/(2*T8*T4))</f>
        <v>1.5</v>
      </c>
    </row>
    <row r="10" spans="1:20" x14ac:dyDescent="0.25">
      <c r="B10">
        <v>3</v>
      </c>
      <c r="C10">
        <v>51.32</v>
      </c>
      <c r="D10">
        <v>46.56</v>
      </c>
      <c r="E10">
        <v>68.88</v>
      </c>
      <c r="H10">
        <f>((0.1*C10)/(SQRT(1+T12)))</f>
        <v>1.5473562203730831</v>
      </c>
      <c r="I10">
        <f>((0.1*D10)/(SQRT(1+T12)))</f>
        <v>1.4038368203540676</v>
      </c>
      <c r="J10">
        <f>((0.1*E10)/(SQRT(1+T12)))</f>
        <v>2.0768101414516358</v>
      </c>
      <c r="Q10" s="1" t="s">
        <v>16</v>
      </c>
      <c r="R10" t="s">
        <v>17</v>
      </c>
      <c r="S10" s="1" t="s">
        <v>16</v>
      </c>
      <c r="T10" t="s">
        <v>17</v>
      </c>
    </row>
    <row r="11" spans="1:20" x14ac:dyDescent="0.25">
      <c r="B11" t="s">
        <v>11</v>
      </c>
      <c r="C11">
        <v>53.12</v>
      </c>
      <c r="D11">
        <v>46.03</v>
      </c>
      <c r="E11">
        <v>67.849999999999994</v>
      </c>
      <c r="H11">
        <f>((0.1*C11)/(SQRT(1+T12)))</f>
        <v>1.6016282623970806</v>
      </c>
      <c r="I11">
        <f>((0.1*D11)/(SQRT(1+T12)))</f>
        <v>1.3878567190914461</v>
      </c>
      <c r="J11">
        <f>((0.1*E11)/(SQRT(1+T12)))</f>
        <v>2.0457544729601262</v>
      </c>
      <c r="L11">
        <f t="shared" ref="L8:L11" si="1">((2707*SQRT(C11))+5300)</f>
        <v>25029.554958994893</v>
      </c>
      <c r="M11">
        <f t="shared" ref="M11" si="2">((2707*SQRT(D11))+5300)</f>
        <v>23665.753169146101</v>
      </c>
      <c r="N11">
        <f t="shared" ref="N11" si="3">((2707*SQRT(E11))+5300)</f>
        <v>27597.859867036568</v>
      </c>
      <c r="Q11" s="1" t="s">
        <v>5</v>
      </c>
      <c r="R11">
        <v>1841</v>
      </c>
      <c r="S11" s="1" t="s">
        <v>5</v>
      </c>
      <c r="T11">
        <v>1841</v>
      </c>
    </row>
    <row r="12" spans="1:20" x14ac:dyDescent="0.25">
      <c r="Q12" s="1" t="s">
        <v>18</v>
      </c>
      <c r="R12">
        <f>R6/R9</f>
        <v>6.666666666666667</v>
      </c>
      <c r="S12" s="1" t="s">
        <v>18</v>
      </c>
      <c r="T12">
        <f>T6/T9</f>
        <v>10</v>
      </c>
    </row>
    <row r="14" spans="1:20" x14ac:dyDescent="0.25">
      <c r="B14" s="1"/>
      <c r="C14" s="1" t="s">
        <v>20</v>
      </c>
      <c r="H14" t="s">
        <v>19</v>
      </c>
    </row>
    <row r="16" spans="1:20" x14ac:dyDescent="0.25">
      <c r="B16">
        <v>1</v>
      </c>
      <c r="C16">
        <f>(H16*H4)</f>
        <v>7.2924135172415996</v>
      </c>
      <c r="D16">
        <f t="shared" ref="D16:E23" si="4">(I16*I4)</f>
        <v>5.9109486175977572</v>
      </c>
      <c r="E16">
        <f t="shared" si="4"/>
        <v>10.345409483119473</v>
      </c>
      <c r="G16">
        <v>1</v>
      </c>
      <c r="H16">
        <f>(SQRT(1+(L7/R11)))</f>
        <v>3.838741200290583</v>
      </c>
      <c r="I16">
        <f>(SQRT(1+(M7/R11)))</f>
        <v>3.6770783224309254</v>
      </c>
      <c r="J16">
        <f>(SQRT(1+(N7/R11)))</f>
        <v>4.0169880467507673</v>
      </c>
    </row>
    <row r="17" spans="2:10" x14ac:dyDescent="0.25">
      <c r="B17">
        <v>2</v>
      </c>
      <c r="C17">
        <f t="shared" ref="C17:C23" si="5">(H17*H5)</f>
        <v>7.8275602126133208</v>
      </c>
      <c r="D17">
        <f t="shared" si="4"/>
        <v>5.5337953020736608</v>
      </c>
      <c r="E17">
        <f t="shared" si="4"/>
        <v>10.084271675384022</v>
      </c>
      <c r="G17">
        <v>2</v>
      </c>
      <c r="H17">
        <f>(SQRT(1+(L7/R11)))</f>
        <v>3.838741200290583</v>
      </c>
      <c r="I17">
        <f>(SQRT(1+(M7/R11)))</f>
        <v>3.6770783224309254</v>
      </c>
      <c r="J17">
        <f>(SQRT(1+(N7/R11)))</f>
        <v>4.0169880467507673</v>
      </c>
    </row>
    <row r="18" spans="2:10" x14ac:dyDescent="0.25">
      <c r="B18">
        <v>3</v>
      </c>
      <c r="C18">
        <f t="shared" si="5"/>
        <v>7.558600474524944</v>
      </c>
      <c r="D18">
        <f t="shared" si="4"/>
        <v>5.6865158347682767</v>
      </c>
      <c r="E18">
        <f t="shared" si="4"/>
        <v>9.8144292740573889</v>
      </c>
      <c r="G18">
        <v>3</v>
      </c>
      <c r="H18">
        <f>(SQRT(1+(L7/R11)))</f>
        <v>3.838741200290583</v>
      </c>
      <c r="I18">
        <f>(SQRT(1+(M7/R11)))</f>
        <v>3.6770783224309254</v>
      </c>
      <c r="J18">
        <f>(SQRT(1+(N7/R11)))</f>
        <v>4.0169880467507673</v>
      </c>
    </row>
    <row r="19" spans="2:10" x14ac:dyDescent="0.25">
      <c r="B19" t="s">
        <v>11</v>
      </c>
      <c r="C19">
        <f t="shared" si="5"/>
        <v>7.558600474524944</v>
      </c>
      <c r="D19">
        <f t="shared" si="4"/>
        <v>5.710419918146564</v>
      </c>
      <c r="E19">
        <f t="shared" si="4"/>
        <v>10.081370144186961</v>
      </c>
      <c r="G19" t="s">
        <v>11</v>
      </c>
      <c r="H19">
        <f>(SQRT(1+(L7/R11)))</f>
        <v>3.838741200290583</v>
      </c>
      <c r="I19">
        <f>(SQRT(1+(M7/R11)))</f>
        <v>3.6770783224309254</v>
      </c>
      <c r="J19">
        <f>(SQRT(1+(N7/R11)))</f>
        <v>4.0169880467507673</v>
      </c>
    </row>
    <row r="20" spans="2:10" x14ac:dyDescent="0.25">
      <c r="B20">
        <v>1</v>
      </c>
      <c r="C20">
        <f t="shared" si="5"/>
        <v>6.3619481372781514</v>
      </c>
      <c r="D20">
        <f t="shared" si="4"/>
        <v>5.1793595211595935</v>
      </c>
      <c r="E20">
        <f t="shared" si="4"/>
        <v>8.2722695169219449</v>
      </c>
      <c r="G20">
        <v>1</v>
      </c>
      <c r="H20">
        <f>(SQRT(1+(L11/R11)))</f>
        <v>3.8204227606467636</v>
      </c>
      <c r="I20">
        <f>(SQRT(1+(M11/R11)))</f>
        <v>3.7222084910165072</v>
      </c>
      <c r="J20">
        <f>(SQRT(1+(N11/R11)))</f>
        <v>3.9988360519347919</v>
      </c>
    </row>
    <row r="21" spans="2:10" x14ac:dyDescent="0.25">
      <c r="B21">
        <v>2</v>
      </c>
      <c r="C21">
        <f t="shared" si="5"/>
        <v>6.0843400436543895</v>
      </c>
      <c r="D21">
        <f t="shared" si="4"/>
        <v>5.0929433384663572</v>
      </c>
      <c r="E21">
        <f t="shared" si="4"/>
        <v>7.96602313049166</v>
      </c>
      <c r="G21">
        <v>2</v>
      </c>
      <c r="H21">
        <f>(SQRT(1+(L11/R11)))</f>
        <v>3.8204227606467636</v>
      </c>
      <c r="I21">
        <f>(SQRT(1+(M11/R11)))</f>
        <v>3.7222084910165072</v>
      </c>
      <c r="J21">
        <f>(SQRT(1+(N11/R11)))</f>
        <v>3.9988360519347919</v>
      </c>
    </row>
    <row r="22" spans="2:10" x14ac:dyDescent="0.25">
      <c r="B22">
        <v>3</v>
      </c>
      <c r="C22">
        <f t="shared" si="5"/>
        <v>5.9115549231416757</v>
      </c>
      <c r="D22">
        <f t="shared" si="4"/>
        <v>5.2253733327235254</v>
      </c>
      <c r="E22">
        <f t="shared" si="4"/>
        <v>8.3048232666605966</v>
      </c>
      <c r="G22">
        <v>3</v>
      </c>
      <c r="H22">
        <f>(SQRT(1+(L11/R11)))</f>
        <v>3.8204227606467636</v>
      </c>
      <c r="I22">
        <f>(SQRT(1+(M11/R11)))</f>
        <v>3.7222084910165072</v>
      </c>
      <c r="J22">
        <f>(SQRT(1+(N11/R11)))</f>
        <v>3.9988360519347919</v>
      </c>
    </row>
    <row r="23" spans="2:10" x14ac:dyDescent="0.25">
      <c r="B23" t="s">
        <v>11</v>
      </c>
      <c r="C23">
        <f t="shared" si="5"/>
        <v>6.1188970677569339</v>
      </c>
      <c r="D23">
        <f t="shared" si="4"/>
        <v>5.165892064116492</v>
      </c>
      <c r="E23">
        <f t="shared" si="4"/>
        <v>8.1806367398798123</v>
      </c>
      <c r="G23" t="s">
        <v>11</v>
      </c>
      <c r="H23">
        <f>(SQRT(1+(L11/R11)))</f>
        <v>3.8204227606467636</v>
      </c>
      <c r="I23">
        <f>(SQRT(1+(M11/R11)))</f>
        <v>3.7222084910165072</v>
      </c>
      <c r="J23">
        <f>(SQRT(1+(N11/R11)))</f>
        <v>3.9988360519347919</v>
      </c>
    </row>
  </sheetData>
  <mergeCells count="2">
    <mergeCell ref="Q2:R2"/>
    <mergeCell ref="S2:T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</dc:creator>
  <cp:lastModifiedBy>LENOVO LAP</cp:lastModifiedBy>
  <dcterms:created xsi:type="dcterms:W3CDTF">2019-03-15T16:54:33Z</dcterms:created>
  <dcterms:modified xsi:type="dcterms:W3CDTF">2019-03-16T09:29:56Z</dcterms:modified>
</cp:coreProperties>
</file>