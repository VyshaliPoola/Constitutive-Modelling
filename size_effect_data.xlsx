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vysh\OneDrive\Desktop\"/>
    </mc:Choice>
  </mc:AlternateContent>
  <xr:revisionPtr revIDLastSave="0" documentId="13_ncr:1_{EDBBA02A-6C0C-41B0-9934-3BCFE47A012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" i="2" l="1"/>
  <c r="P6" i="2"/>
  <c r="P7" i="2"/>
  <c r="P8" i="2"/>
  <c r="P9" i="2"/>
  <c r="P10" i="2"/>
  <c r="P11" i="2"/>
  <c r="P12" i="2"/>
  <c r="P13" i="2"/>
  <c r="P14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45" i="2"/>
  <c r="P46" i="2"/>
  <c r="P47" i="2"/>
  <c r="P48" i="2"/>
  <c r="P50" i="2"/>
  <c r="P51" i="2"/>
  <c r="Q51" i="2"/>
  <c r="Q52" i="2"/>
  <c r="Q53" i="2"/>
  <c r="Q50" i="2"/>
  <c r="Q46" i="2"/>
  <c r="Q47" i="2"/>
  <c r="Q48" i="2"/>
  <c r="Q45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16" i="2"/>
  <c r="N17" i="2"/>
  <c r="N18" i="2"/>
  <c r="N16" i="2"/>
  <c r="L17" i="2"/>
  <c r="L18" i="2"/>
  <c r="L19" i="2"/>
  <c r="L20" i="2"/>
  <c r="L16" i="2"/>
  <c r="Q5" i="2"/>
  <c r="Q6" i="2"/>
  <c r="Q4" i="2"/>
  <c r="P4" i="2"/>
  <c r="N5" i="2"/>
  <c r="N6" i="2"/>
  <c r="N7" i="2"/>
  <c r="N8" i="2"/>
  <c r="N9" i="2"/>
  <c r="N10" i="2"/>
  <c r="N11" i="2"/>
  <c r="N12" i="2"/>
  <c r="N13" i="2"/>
  <c r="N14" i="2"/>
  <c r="N4" i="2"/>
  <c r="L5" i="2"/>
  <c r="L6" i="2"/>
  <c r="L7" i="2"/>
  <c r="L8" i="2"/>
  <c r="L9" i="2"/>
  <c r="L10" i="2"/>
  <c r="L11" i="2"/>
  <c r="L12" i="2"/>
  <c r="L4" i="2"/>
</calcChain>
</file>

<file path=xl/sharedStrings.xml><?xml version="1.0" encoding="utf-8"?>
<sst xmlns="http://schemas.openxmlformats.org/spreadsheetml/2006/main" count="12" uniqueCount="8">
  <si>
    <t>cy</t>
  </si>
  <si>
    <t xml:space="preserve">cu </t>
  </si>
  <si>
    <t>cu</t>
  </si>
  <si>
    <t>fc'</t>
  </si>
  <si>
    <t>fcy/fc'</t>
  </si>
  <si>
    <t>fcu/fc'</t>
  </si>
  <si>
    <t>diameter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</si>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</sst>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92ED0-92B3-4624-8081-E5446D3638AF}">
  <dimension ref="B1:T53"/>
  <sheetViews>
    <sheetView tabSelected="1" workbookViewId="0">
      <selection activeCell="R9" sqref="R9"/>
    </sheetView>
  </sheetViews>
  <sheetFormatPr defaultRowHeight="14.5" x14ac:dyDescent="0.35"/>
  <sheetData>
    <row r="1" spans="2:20" x14ac:dyDescent="0.35">
      <c r="B1" s="2" t="s">
        <v>7</v>
      </c>
      <c r="C1" s="2" t="s">
        <v>0</v>
      </c>
      <c r="D1" s="2" t="s">
        <v>0</v>
      </c>
      <c r="E1" s="2"/>
      <c r="F1" s="2"/>
      <c r="G1" s="2" t="s">
        <v>1</v>
      </c>
      <c r="H1" s="2" t="s">
        <v>2</v>
      </c>
      <c r="I1" s="2"/>
      <c r="J1" s="2" t="s">
        <v>3</v>
      </c>
      <c r="K1" s="2" t="s">
        <v>6</v>
      </c>
      <c r="L1" s="2" t="s">
        <v>4</v>
      </c>
      <c r="M1" s="2" t="s">
        <v>6</v>
      </c>
      <c r="N1" s="2" t="s">
        <v>4</v>
      </c>
      <c r="O1" s="2"/>
      <c r="P1" s="2" t="s">
        <v>5</v>
      </c>
      <c r="Q1" s="2" t="s">
        <v>5</v>
      </c>
    </row>
    <row r="2" spans="2:20" x14ac:dyDescent="0.35">
      <c r="B2" s="3"/>
      <c r="C2" s="3">
        <v>100</v>
      </c>
      <c r="D2" s="3">
        <v>150</v>
      </c>
      <c r="E2" s="3"/>
      <c r="F2" s="3"/>
      <c r="G2" s="3">
        <v>100</v>
      </c>
      <c r="H2" s="3">
        <v>150</v>
      </c>
      <c r="I2" s="3"/>
      <c r="J2" s="3">
        <v>150</v>
      </c>
      <c r="K2" s="3"/>
      <c r="L2" s="3">
        <v>100</v>
      </c>
      <c r="M2" s="3"/>
      <c r="N2" s="3">
        <v>150</v>
      </c>
      <c r="O2" s="3"/>
      <c r="P2" s="3">
        <v>100</v>
      </c>
      <c r="Q2" s="3">
        <v>150</v>
      </c>
    </row>
    <row r="3" spans="2:20" x14ac:dyDescent="0.3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2:20" x14ac:dyDescent="0.35">
      <c r="B4" s="3"/>
      <c r="C4" s="4">
        <v>20.190000000000001</v>
      </c>
      <c r="D4" s="5">
        <v>20.85</v>
      </c>
      <c r="E4" s="5"/>
      <c r="F4" s="3"/>
      <c r="G4" s="5">
        <v>30.15</v>
      </c>
      <c r="H4" s="5">
        <v>32.299999999999997</v>
      </c>
      <c r="I4" s="3"/>
      <c r="J4" s="3"/>
      <c r="K4" s="5">
        <v>10</v>
      </c>
      <c r="L4" s="5">
        <f>C4:C12/33.92</f>
        <v>0.59522405660377364</v>
      </c>
      <c r="M4" s="5">
        <v>15</v>
      </c>
      <c r="N4" s="5">
        <f t="shared" ref="N4:N14" si="0">D4:D14/33.92</f>
        <v>0.61468160377358494</v>
      </c>
      <c r="O4" s="5"/>
      <c r="P4" s="3">
        <f>G4:G14/33.92</f>
        <v>0.88885613207547165</v>
      </c>
      <c r="Q4" s="3">
        <f>H4:H6/33.92</f>
        <v>0.95224056603773577</v>
      </c>
      <c r="T4" s="1"/>
    </row>
    <row r="5" spans="2:20" x14ac:dyDescent="0.35">
      <c r="B5" s="3"/>
      <c r="C5" s="6">
        <v>21.09</v>
      </c>
      <c r="D5" s="5">
        <v>21.4</v>
      </c>
      <c r="E5" s="5"/>
      <c r="F5" s="3"/>
      <c r="G5" s="5">
        <v>30.75</v>
      </c>
      <c r="H5" s="5">
        <v>33.58</v>
      </c>
      <c r="I5" s="3"/>
      <c r="J5" s="3">
        <v>33.92</v>
      </c>
      <c r="K5" s="5">
        <v>10</v>
      </c>
      <c r="L5" s="5">
        <f t="shared" ref="L5:L12" si="1">C5:C13/33.92</f>
        <v>0.62175707547169812</v>
      </c>
      <c r="M5" s="5">
        <v>15</v>
      </c>
      <c r="N5" s="5">
        <f t="shared" si="0"/>
        <v>0.63089622641509424</v>
      </c>
      <c r="O5" s="5"/>
      <c r="P5" s="3">
        <f t="shared" ref="P5:P14" si="2">G5:G15/33.92</f>
        <v>0.90654481132075471</v>
      </c>
      <c r="Q5" s="3">
        <f t="shared" ref="Q5:Q6" si="3">H5:H7/33.92</f>
        <v>0.98997641509433953</v>
      </c>
    </row>
    <row r="6" spans="2:20" x14ac:dyDescent="0.35">
      <c r="B6" s="3"/>
      <c r="C6" s="6">
        <v>22</v>
      </c>
      <c r="D6" s="5">
        <v>22.96</v>
      </c>
      <c r="E6" s="5"/>
      <c r="F6" s="3"/>
      <c r="G6" s="5">
        <v>33.69</v>
      </c>
      <c r="H6" s="5">
        <v>35.89</v>
      </c>
      <c r="I6" s="3"/>
      <c r="J6" s="3"/>
      <c r="K6" s="5">
        <v>10</v>
      </c>
      <c r="L6" s="5">
        <f t="shared" si="1"/>
        <v>0.6485849056603773</v>
      </c>
      <c r="M6" s="5">
        <v>15</v>
      </c>
      <c r="N6" s="5">
        <f t="shared" si="0"/>
        <v>0.67688679245283023</v>
      </c>
      <c r="O6" s="5"/>
      <c r="P6" s="3">
        <f t="shared" si="2"/>
        <v>0.99321933962264142</v>
      </c>
      <c r="Q6" s="3">
        <f t="shared" si="3"/>
        <v>1.0580778301886793</v>
      </c>
    </row>
    <row r="7" spans="2:20" x14ac:dyDescent="0.35">
      <c r="B7" s="3">
        <v>30</v>
      </c>
      <c r="C7" s="6">
        <v>22</v>
      </c>
      <c r="D7" s="5">
        <v>24.05</v>
      </c>
      <c r="E7" s="5"/>
      <c r="F7" s="3"/>
      <c r="G7" s="5">
        <v>36.85</v>
      </c>
      <c r="H7" s="5"/>
      <c r="I7" s="3"/>
      <c r="J7" s="3"/>
      <c r="K7" s="5">
        <v>10</v>
      </c>
      <c r="L7" s="5">
        <f t="shared" si="1"/>
        <v>0.6485849056603773</v>
      </c>
      <c r="M7" s="5">
        <v>15</v>
      </c>
      <c r="N7" s="5">
        <f t="shared" si="0"/>
        <v>0.70902122641509435</v>
      </c>
      <c r="O7" s="5"/>
      <c r="P7" s="3">
        <f t="shared" si="2"/>
        <v>1.086379716981132</v>
      </c>
      <c r="Q7" s="3"/>
    </row>
    <row r="8" spans="2:20" x14ac:dyDescent="0.35">
      <c r="B8" s="3"/>
      <c r="C8" s="6">
        <v>22.85</v>
      </c>
      <c r="D8" s="5">
        <v>24.37</v>
      </c>
      <c r="E8" s="5"/>
      <c r="F8" s="3"/>
      <c r="G8" s="5">
        <v>37.69</v>
      </c>
      <c r="H8" s="5"/>
      <c r="I8" s="3"/>
      <c r="J8" s="3"/>
      <c r="K8" s="5">
        <v>10</v>
      </c>
      <c r="L8" s="5">
        <f t="shared" si="1"/>
        <v>0.67364386792452835</v>
      </c>
      <c r="M8" s="5">
        <v>15</v>
      </c>
      <c r="N8" s="5">
        <f t="shared" si="0"/>
        <v>0.71845518867924529</v>
      </c>
      <c r="O8" s="5"/>
      <c r="P8" s="3">
        <f t="shared" si="2"/>
        <v>1.1111438679245282</v>
      </c>
      <c r="Q8" s="3"/>
    </row>
    <row r="9" spans="2:20" x14ac:dyDescent="0.35">
      <c r="B9" s="3"/>
      <c r="C9" s="6">
        <v>23.87</v>
      </c>
      <c r="D9" s="5">
        <v>25.31</v>
      </c>
      <c r="E9" s="5"/>
      <c r="F9" s="3"/>
      <c r="G9" s="5">
        <v>37.880000000000003</v>
      </c>
      <c r="H9" s="5"/>
      <c r="I9" s="3"/>
      <c r="J9" s="3"/>
      <c r="K9" s="5">
        <v>10</v>
      </c>
      <c r="L9" s="5">
        <f t="shared" si="1"/>
        <v>0.70371462264150941</v>
      </c>
      <c r="M9" s="5">
        <v>15</v>
      </c>
      <c r="N9" s="5">
        <f t="shared" si="0"/>
        <v>0.74616745283018859</v>
      </c>
      <c r="O9" s="5"/>
      <c r="P9" s="3">
        <f t="shared" si="2"/>
        <v>1.116745283018868</v>
      </c>
      <c r="Q9" s="3"/>
    </row>
    <row r="10" spans="2:20" x14ac:dyDescent="0.35">
      <c r="B10" s="3"/>
      <c r="C10" s="6">
        <v>23.88</v>
      </c>
      <c r="D10" s="5">
        <v>25.33</v>
      </c>
      <c r="E10" s="5"/>
      <c r="F10" s="3"/>
      <c r="G10" s="5">
        <v>37.9</v>
      </c>
      <c r="H10" s="5"/>
      <c r="I10" s="3"/>
      <c r="J10" s="3"/>
      <c r="K10" s="5">
        <v>10</v>
      </c>
      <c r="L10" s="5">
        <f t="shared" si="1"/>
        <v>0.70400943396226412</v>
      </c>
      <c r="M10" s="5">
        <v>15</v>
      </c>
      <c r="N10" s="5">
        <f t="shared" si="0"/>
        <v>0.74675707547169801</v>
      </c>
      <c r="O10" s="5"/>
      <c r="P10" s="3">
        <f t="shared" si="2"/>
        <v>1.1173349056603772</v>
      </c>
      <c r="Q10" s="3"/>
    </row>
    <row r="11" spans="2:20" x14ac:dyDescent="0.35">
      <c r="B11" s="3"/>
      <c r="C11" s="4">
        <v>26.7</v>
      </c>
      <c r="D11" s="5">
        <v>25.65</v>
      </c>
      <c r="E11" s="5"/>
      <c r="F11" s="3"/>
      <c r="G11" s="5">
        <v>37.93</v>
      </c>
      <c r="H11" s="5"/>
      <c r="I11" s="3"/>
      <c r="J11" s="3"/>
      <c r="K11" s="5">
        <v>10</v>
      </c>
      <c r="L11" s="5">
        <f t="shared" si="1"/>
        <v>0.78714622641509424</v>
      </c>
      <c r="M11" s="5">
        <v>15</v>
      </c>
      <c r="N11" s="5">
        <f t="shared" si="0"/>
        <v>0.75619103773584895</v>
      </c>
      <c r="O11" s="5"/>
      <c r="P11" s="3">
        <f t="shared" si="2"/>
        <v>1.1182193396226414</v>
      </c>
      <c r="Q11" s="3"/>
    </row>
    <row r="12" spans="2:20" x14ac:dyDescent="0.35">
      <c r="B12" s="3"/>
      <c r="C12" s="4">
        <v>27.79</v>
      </c>
      <c r="D12" s="5">
        <v>25.84</v>
      </c>
      <c r="E12" s="5"/>
      <c r="F12" s="3"/>
      <c r="G12" s="5">
        <v>38.76</v>
      </c>
      <c r="H12" s="5"/>
      <c r="I12" s="3"/>
      <c r="J12" s="3"/>
      <c r="K12" s="5">
        <v>10</v>
      </c>
      <c r="L12" s="5">
        <f t="shared" si="1"/>
        <v>0.81928066037735847</v>
      </c>
      <c r="M12" s="5">
        <v>15</v>
      </c>
      <c r="N12" s="5">
        <f t="shared" si="0"/>
        <v>0.76179245283018859</v>
      </c>
      <c r="O12" s="5"/>
      <c r="P12" s="3">
        <f t="shared" si="2"/>
        <v>1.1426886792452828</v>
      </c>
      <c r="Q12" s="3"/>
    </row>
    <row r="13" spans="2:20" x14ac:dyDescent="0.35">
      <c r="B13" s="3"/>
      <c r="C13" s="4"/>
      <c r="D13" s="5">
        <v>26.65</v>
      </c>
      <c r="E13" s="5"/>
      <c r="F13" s="3"/>
      <c r="G13" s="5">
        <v>39</v>
      </c>
      <c r="H13" s="5"/>
      <c r="I13" s="3"/>
      <c r="J13" s="3"/>
      <c r="K13" s="5">
        <v>10</v>
      </c>
      <c r="L13" s="5"/>
      <c r="M13" s="5">
        <v>15</v>
      </c>
      <c r="N13" s="5">
        <f t="shared" si="0"/>
        <v>0.78567216981132071</v>
      </c>
      <c r="O13" s="5"/>
      <c r="P13" s="3">
        <f t="shared" si="2"/>
        <v>1.1497641509433962</v>
      </c>
      <c r="Q13" s="3"/>
    </row>
    <row r="14" spans="2:20" x14ac:dyDescent="0.35">
      <c r="B14" s="3"/>
      <c r="C14" s="4"/>
      <c r="D14" s="5">
        <v>28.86</v>
      </c>
      <c r="E14" s="5"/>
      <c r="F14" s="3"/>
      <c r="G14" s="5">
        <v>39.950000000000003</v>
      </c>
      <c r="H14" s="5"/>
      <c r="I14" s="3"/>
      <c r="J14" s="3"/>
      <c r="K14" s="5">
        <v>10</v>
      </c>
      <c r="L14" s="3"/>
      <c r="M14" s="5">
        <v>15</v>
      </c>
      <c r="N14" s="5">
        <f t="shared" si="0"/>
        <v>0.85082547169811318</v>
      </c>
      <c r="O14" s="5"/>
      <c r="P14" s="3">
        <f t="shared" si="2"/>
        <v>1.1777712264150944</v>
      </c>
      <c r="Q14" s="3"/>
    </row>
    <row r="15" spans="2:20" x14ac:dyDescent="0.35">
      <c r="B15" s="3"/>
      <c r="C15" s="4"/>
      <c r="D15" s="3"/>
      <c r="E15" s="3"/>
      <c r="F15" s="3"/>
      <c r="G15" s="5"/>
      <c r="H15" s="5"/>
      <c r="I15" s="3"/>
      <c r="J15" s="3"/>
      <c r="K15" s="5">
        <v>10</v>
      </c>
      <c r="L15" s="3"/>
      <c r="M15" s="5">
        <v>15</v>
      </c>
      <c r="N15" s="5"/>
      <c r="O15" s="5"/>
      <c r="P15" s="3"/>
      <c r="Q15" s="3"/>
    </row>
    <row r="16" spans="2:20" x14ac:dyDescent="0.35">
      <c r="B16" s="3"/>
      <c r="C16" s="3">
        <v>39.32</v>
      </c>
      <c r="D16" s="3">
        <v>30.6</v>
      </c>
      <c r="E16" s="3"/>
      <c r="F16" s="3"/>
      <c r="G16" s="5">
        <v>41.17</v>
      </c>
      <c r="H16" s="5">
        <v>39.24</v>
      </c>
      <c r="I16" s="3"/>
      <c r="J16" s="3"/>
      <c r="K16" s="5">
        <v>10</v>
      </c>
      <c r="L16" s="3">
        <f>C16:C20/45.98</f>
        <v>0.85515441496302746</v>
      </c>
      <c r="M16" s="5">
        <v>15</v>
      </c>
      <c r="N16" s="5">
        <f>D16:D18/45.98</f>
        <v>0.66550674206176608</v>
      </c>
      <c r="O16" s="5"/>
      <c r="P16" s="3">
        <f t="shared" ref="P16:P37" si="4">G16:G37/45.98</f>
        <v>0.89538929969551984</v>
      </c>
      <c r="Q16" s="3">
        <f>H16:H43/45.98</f>
        <v>0.85341452805567652</v>
      </c>
    </row>
    <row r="17" spans="2:17" x14ac:dyDescent="0.35">
      <c r="B17" s="3"/>
      <c r="C17" s="3">
        <v>39.71</v>
      </c>
      <c r="D17" s="3">
        <v>32.729999999999997</v>
      </c>
      <c r="E17" s="3"/>
      <c r="F17" s="3"/>
      <c r="G17" s="5">
        <v>41.6</v>
      </c>
      <c r="H17" s="5">
        <v>43.32</v>
      </c>
      <c r="I17" s="3"/>
      <c r="J17" s="3"/>
      <c r="K17" s="5">
        <v>10</v>
      </c>
      <c r="L17" s="3">
        <f t="shared" ref="L17:L20" si="5">C17:C21/45.98</f>
        <v>0.86363636363636376</v>
      </c>
      <c r="M17" s="5">
        <v>15</v>
      </c>
      <c r="N17" s="5">
        <f>D17:D19/45.98</f>
        <v>0.71183123096998691</v>
      </c>
      <c r="O17" s="5"/>
      <c r="P17" s="3">
        <f t="shared" si="4"/>
        <v>0.90474119182253165</v>
      </c>
      <c r="Q17" s="3">
        <f t="shared" ref="Q17:Q42" si="6">H17:H44/45.98</f>
        <v>0.94214876033057859</v>
      </c>
    </row>
    <row r="18" spans="2:17" x14ac:dyDescent="0.35">
      <c r="B18" s="3">
        <v>40</v>
      </c>
      <c r="C18" s="3">
        <v>40.840000000000003</v>
      </c>
      <c r="D18" s="3">
        <v>33.659999999999997</v>
      </c>
      <c r="E18" s="3"/>
      <c r="F18" s="3"/>
      <c r="G18" s="5">
        <v>41.61</v>
      </c>
      <c r="H18" s="5">
        <v>43.33</v>
      </c>
      <c r="I18" s="3"/>
      <c r="J18" s="3">
        <v>45.98</v>
      </c>
      <c r="K18" s="5">
        <v>10</v>
      </c>
      <c r="L18" s="3">
        <f t="shared" si="5"/>
        <v>0.888212266202697</v>
      </c>
      <c r="M18" s="5">
        <v>15</v>
      </c>
      <c r="N18" s="5">
        <f>D18:D20/45.98</f>
        <v>0.73205741626794252</v>
      </c>
      <c r="O18" s="5"/>
      <c r="P18" s="3">
        <f t="shared" si="4"/>
        <v>0.90495867768595051</v>
      </c>
      <c r="Q18" s="3">
        <f t="shared" si="6"/>
        <v>0.94236624619399745</v>
      </c>
    </row>
    <row r="19" spans="2:17" x14ac:dyDescent="0.35">
      <c r="B19" s="3"/>
      <c r="C19" s="3">
        <v>41.68</v>
      </c>
      <c r="D19" s="3"/>
      <c r="E19" s="3"/>
      <c r="F19" s="3"/>
      <c r="G19" s="5">
        <v>42.01</v>
      </c>
      <c r="H19" s="5">
        <v>43.43</v>
      </c>
      <c r="I19" s="3"/>
      <c r="J19" s="3"/>
      <c r="K19" s="5">
        <v>10</v>
      </c>
      <c r="L19" s="3">
        <f t="shared" si="5"/>
        <v>0.90648107872988259</v>
      </c>
      <c r="M19" s="5">
        <v>15</v>
      </c>
      <c r="N19" s="5"/>
      <c r="O19" s="5"/>
      <c r="P19" s="3">
        <f t="shared" si="4"/>
        <v>0.91365811222270554</v>
      </c>
      <c r="Q19" s="3">
        <f t="shared" si="6"/>
        <v>0.94454110482818621</v>
      </c>
    </row>
    <row r="20" spans="2:17" x14ac:dyDescent="0.35">
      <c r="B20" s="3"/>
      <c r="C20" s="3">
        <v>42.2</v>
      </c>
      <c r="D20" s="3"/>
      <c r="E20" s="3"/>
      <c r="F20" s="3"/>
      <c r="G20" s="5">
        <v>42.23</v>
      </c>
      <c r="H20" s="5">
        <v>44.11</v>
      </c>
      <c r="I20" s="3"/>
      <c r="J20" s="3"/>
      <c r="K20" s="5">
        <v>10</v>
      </c>
      <c r="L20" s="3">
        <f t="shared" si="5"/>
        <v>0.91779034362766432</v>
      </c>
      <c r="M20" s="5">
        <v>15</v>
      </c>
      <c r="N20" s="5"/>
      <c r="O20" s="5"/>
      <c r="P20" s="3">
        <f t="shared" si="4"/>
        <v>0.91844280121792088</v>
      </c>
      <c r="Q20" s="3">
        <f t="shared" si="6"/>
        <v>0.95933014354066992</v>
      </c>
    </row>
    <row r="21" spans="2:17" x14ac:dyDescent="0.35">
      <c r="B21" s="3"/>
      <c r="C21" s="3"/>
      <c r="D21" s="3"/>
      <c r="E21" s="3"/>
      <c r="F21" s="3"/>
      <c r="G21" s="5">
        <v>43.46</v>
      </c>
      <c r="H21" s="5">
        <v>44.94</v>
      </c>
      <c r="I21" s="3"/>
      <c r="J21" s="3"/>
      <c r="K21" s="5">
        <v>10</v>
      </c>
      <c r="L21" s="3"/>
      <c r="M21" s="5">
        <v>15</v>
      </c>
      <c r="N21" s="5"/>
      <c r="O21" s="5"/>
      <c r="P21" s="3">
        <f t="shared" si="4"/>
        <v>0.94519356241844288</v>
      </c>
      <c r="Q21" s="3">
        <f t="shared" si="6"/>
        <v>0.97738147020443678</v>
      </c>
    </row>
    <row r="22" spans="2:17" x14ac:dyDescent="0.35">
      <c r="B22" s="3"/>
      <c r="C22" s="3"/>
      <c r="D22" s="3"/>
      <c r="E22" s="3"/>
      <c r="F22" s="3"/>
      <c r="G22" s="5">
        <v>43.55</v>
      </c>
      <c r="H22" s="5">
        <v>45.07</v>
      </c>
      <c r="I22" s="3"/>
      <c r="J22" s="3"/>
      <c r="K22" s="5">
        <v>10</v>
      </c>
      <c r="L22" s="3"/>
      <c r="M22" s="5">
        <v>15</v>
      </c>
      <c r="N22" s="5"/>
      <c r="O22" s="5"/>
      <c r="P22" s="3">
        <f t="shared" si="4"/>
        <v>0.94715093518921267</v>
      </c>
      <c r="Q22" s="3">
        <f t="shared" si="6"/>
        <v>0.98020878642888221</v>
      </c>
    </row>
    <row r="23" spans="2:17" x14ac:dyDescent="0.35">
      <c r="B23" s="3"/>
      <c r="C23" s="3"/>
      <c r="D23" s="3"/>
      <c r="E23" s="3"/>
      <c r="F23" s="3"/>
      <c r="G23" s="5">
        <v>43.77</v>
      </c>
      <c r="H23" s="5">
        <v>45.29</v>
      </c>
      <c r="I23" s="3"/>
      <c r="J23" s="3"/>
      <c r="K23" s="5">
        <v>10</v>
      </c>
      <c r="L23" s="3"/>
      <c r="M23" s="5">
        <v>15</v>
      </c>
      <c r="N23" s="5"/>
      <c r="O23" s="5"/>
      <c r="P23" s="3">
        <f t="shared" si="4"/>
        <v>0.95193562418442812</v>
      </c>
      <c r="Q23" s="3">
        <f t="shared" si="6"/>
        <v>0.98499347542409743</v>
      </c>
    </row>
    <row r="24" spans="2:17" x14ac:dyDescent="0.35">
      <c r="B24" s="3"/>
      <c r="C24" s="3"/>
      <c r="D24" s="3"/>
      <c r="E24" s="3"/>
      <c r="F24" s="3"/>
      <c r="G24" s="5">
        <v>44.15</v>
      </c>
      <c r="H24" s="5">
        <v>45.53</v>
      </c>
      <c r="I24" s="3"/>
      <c r="J24" s="3"/>
      <c r="K24" s="5">
        <v>10</v>
      </c>
      <c r="L24" s="3"/>
      <c r="M24" s="5">
        <v>15</v>
      </c>
      <c r="N24" s="5"/>
      <c r="O24" s="5"/>
      <c r="P24" s="3">
        <f t="shared" si="4"/>
        <v>0.96020008699434545</v>
      </c>
      <c r="Q24" s="3">
        <f t="shared" si="6"/>
        <v>0.99021313614615059</v>
      </c>
    </row>
    <row r="25" spans="2:17" x14ac:dyDescent="0.35">
      <c r="B25" s="3"/>
      <c r="C25" s="3"/>
      <c r="D25" s="3"/>
      <c r="E25" s="3"/>
      <c r="F25" s="3"/>
      <c r="G25" s="5">
        <v>44.51</v>
      </c>
      <c r="H25" s="5">
        <v>45.55</v>
      </c>
      <c r="I25" s="3"/>
      <c r="J25" s="3"/>
      <c r="K25" s="5">
        <v>10</v>
      </c>
      <c r="L25" s="3"/>
      <c r="M25" s="5">
        <v>15</v>
      </c>
      <c r="N25" s="5"/>
      <c r="O25" s="5"/>
      <c r="P25" s="3">
        <f t="shared" si="4"/>
        <v>0.96802957807742496</v>
      </c>
      <c r="Q25" s="3">
        <f t="shared" si="6"/>
        <v>0.99064810787298829</v>
      </c>
    </row>
    <row r="26" spans="2:17" x14ac:dyDescent="0.35">
      <c r="B26" s="3"/>
      <c r="C26" s="3"/>
      <c r="D26" s="3"/>
      <c r="E26" s="3"/>
      <c r="F26" s="3"/>
      <c r="G26" s="5">
        <v>44.56</v>
      </c>
      <c r="H26" s="5">
        <v>45.68</v>
      </c>
      <c r="I26" s="3"/>
      <c r="J26" s="3"/>
      <c r="K26" s="5">
        <v>10</v>
      </c>
      <c r="L26" s="3"/>
      <c r="M26" s="5">
        <v>15</v>
      </c>
      <c r="N26" s="5"/>
      <c r="O26" s="5"/>
      <c r="P26" s="3">
        <f t="shared" si="4"/>
        <v>0.96911700739451945</v>
      </c>
      <c r="Q26" s="3">
        <f t="shared" si="6"/>
        <v>0.99347542409743372</v>
      </c>
    </row>
    <row r="27" spans="2:17" x14ac:dyDescent="0.35">
      <c r="B27" s="3"/>
      <c r="C27" s="3"/>
      <c r="D27" s="3"/>
      <c r="E27" s="3"/>
      <c r="F27" s="3"/>
      <c r="G27" s="5">
        <v>44.71</v>
      </c>
      <c r="H27" s="5">
        <v>45.94</v>
      </c>
      <c r="I27" s="3"/>
      <c r="J27" s="3"/>
      <c r="K27" s="5">
        <v>10</v>
      </c>
      <c r="L27" s="3"/>
      <c r="M27" s="5">
        <v>15</v>
      </c>
      <c r="N27" s="5"/>
      <c r="O27" s="5"/>
      <c r="P27" s="3">
        <f t="shared" si="4"/>
        <v>0.97237929534580259</v>
      </c>
      <c r="Q27" s="3">
        <f t="shared" si="6"/>
        <v>0.99913005654632447</v>
      </c>
    </row>
    <row r="28" spans="2:17" x14ac:dyDescent="0.35">
      <c r="B28" s="3"/>
      <c r="C28" s="3"/>
      <c r="D28" s="3"/>
      <c r="E28" s="3"/>
      <c r="F28" s="3"/>
      <c r="G28" s="5">
        <v>44.74</v>
      </c>
      <c r="H28" s="5">
        <v>46.06</v>
      </c>
      <c r="I28" s="3"/>
      <c r="J28" s="3"/>
      <c r="K28" s="5">
        <v>10</v>
      </c>
      <c r="L28" s="3"/>
      <c r="M28" s="5">
        <v>15</v>
      </c>
      <c r="N28" s="5"/>
      <c r="O28" s="5"/>
      <c r="P28" s="3">
        <f t="shared" si="4"/>
        <v>0.97303175293605926</v>
      </c>
      <c r="Q28" s="3">
        <f t="shared" si="6"/>
        <v>1.0017398869073511</v>
      </c>
    </row>
    <row r="29" spans="2:17" x14ac:dyDescent="0.35">
      <c r="B29" s="3"/>
      <c r="C29" s="3"/>
      <c r="D29" s="3"/>
      <c r="E29" s="3"/>
      <c r="F29" s="3"/>
      <c r="G29" s="5">
        <v>45.17</v>
      </c>
      <c r="H29" s="5">
        <v>46.22</v>
      </c>
      <c r="I29" s="3"/>
      <c r="J29" s="3"/>
      <c r="K29" s="5">
        <v>10</v>
      </c>
      <c r="L29" s="3"/>
      <c r="M29" s="5">
        <v>15</v>
      </c>
      <c r="N29" s="5"/>
      <c r="O29" s="5"/>
      <c r="P29" s="3">
        <f t="shared" si="4"/>
        <v>0.98238364506307096</v>
      </c>
      <c r="Q29" s="3">
        <f t="shared" si="6"/>
        <v>1.0052196607220532</v>
      </c>
    </row>
    <row r="30" spans="2:17" x14ac:dyDescent="0.35">
      <c r="B30" s="3"/>
      <c r="C30" s="3"/>
      <c r="D30" s="3"/>
      <c r="E30" s="3"/>
      <c r="F30" s="3"/>
      <c r="G30" s="5">
        <v>45.59</v>
      </c>
      <c r="H30" s="5">
        <v>46.25</v>
      </c>
      <c r="I30" s="3"/>
      <c r="J30" s="3"/>
      <c r="K30" s="5">
        <v>10</v>
      </c>
      <c r="L30" s="3"/>
      <c r="M30" s="5">
        <v>15</v>
      </c>
      <c r="N30" s="5"/>
      <c r="O30" s="5"/>
      <c r="P30" s="3">
        <f t="shared" si="4"/>
        <v>0.99151805132666393</v>
      </c>
      <c r="Q30" s="3">
        <f t="shared" si="6"/>
        <v>1.0058721183123098</v>
      </c>
    </row>
    <row r="31" spans="2:17" x14ac:dyDescent="0.35">
      <c r="B31" s="3"/>
      <c r="C31" s="3"/>
      <c r="D31" s="3"/>
      <c r="E31" s="3"/>
      <c r="F31" s="3"/>
      <c r="G31" s="5">
        <v>45.64</v>
      </c>
      <c r="H31" s="5">
        <v>46.36</v>
      </c>
      <c r="I31" s="3"/>
      <c r="J31" s="3"/>
      <c r="K31" s="5">
        <v>10</v>
      </c>
      <c r="L31" s="3"/>
      <c r="M31" s="5">
        <v>15</v>
      </c>
      <c r="N31" s="5"/>
      <c r="O31" s="5"/>
      <c r="P31" s="3">
        <f t="shared" si="4"/>
        <v>0.9926054806437582</v>
      </c>
      <c r="Q31" s="3">
        <f t="shared" si="6"/>
        <v>1.0082644628099173</v>
      </c>
    </row>
    <row r="32" spans="2:17" x14ac:dyDescent="0.35">
      <c r="B32" s="3"/>
      <c r="C32" s="3"/>
      <c r="D32" s="3"/>
      <c r="E32" s="3"/>
      <c r="F32" s="3"/>
      <c r="G32" s="5">
        <v>46.72</v>
      </c>
      <c r="H32" s="5">
        <v>46.77</v>
      </c>
      <c r="I32" s="3"/>
      <c r="J32" s="3"/>
      <c r="K32" s="5">
        <v>10</v>
      </c>
      <c r="L32" s="3"/>
      <c r="M32" s="5">
        <v>15</v>
      </c>
      <c r="N32" s="5"/>
      <c r="O32" s="5"/>
      <c r="P32" s="3">
        <f t="shared" si="4"/>
        <v>1.0160939538929969</v>
      </c>
      <c r="Q32" s="3">
        <f t="shared" si="6"/>
        <v>1.0171813832100915</v>
      </c>
    </row>
    <row r="33" spans="2:17" x14ac:dyDescent="0.35">
      <c r="B33" s="3"/>
      <c r="C33" s="3"/>
      <c r="D33" s="3"/>
      <c r="E33" s="3"/>
      <c r="F33" s="3"/>
      <c r="G33" s="5">
        <v>46.75</v>
      </c>
      <c r="H33" s="5">
        <v>46.8</v>
      </c>
      <c r="I33" s="3"/>
      <c r="J33" s="3"/>
      <c r="K33" s="5">
        <v>10</v>
      </c>
      <c r="L33" s="3"/>
      <c r="M33" s="5">
        <v>15</v>
      </c>
      <c r="N33" s="5"/>
      <c r="O33" s="5"/>
      <c r="P33" s="3">
        <f t="shared" si="4"/>
        <v>1.0167464114832536</v>
      </c>
      <c r="Q33" s="3">
        <f t="shared" si="6"/>
        <v>1.017833840800348</v>
      </c>
    </row>
    <row r="34" spans="2:17" x14ac:dyDescent="0.35">
      <c r="B34" s="3"/>
      <c r="C34" s="3"/>
      <c r="D34" s="3"/>
      <c r="E34" s="3"/>
      <c r="F34" s="3"/>
      <c r="G34" s="5">
        <v>47.77</v>
      </c>
      <c r="H34" s="5">
        <v>46.87</v>
      </c>
      <c r="I34" s="3"/>
      <c r="J34" s="3"/>
      <c r="K34" s="5">
        <v>10</v>
      </c>
      <c r="L34" s="3"/>
      <c r="M34" s="5">
        <v>15</v>
      </c>
      <c r="N34" s="5"/>
      <c r="O34" s="5"/>
      <c r="P34" s="3">
        <f t="shared" si="4"/>
        <v>1.0389299695519794</v>
      </c>
      <c r="Q34" s="3">
        <f t="shared" si="6"/>
        <v>1.0193562418442801</v>
      </c>
    </row>
    <row r="35" spans="2:17" x14ac:dyDescent="0.35">
      <c r="B35" s="3"/>
      <c r="C35" s="3"/>
      <c r="D35" s="3"/>
      <c r="E35" s="3"/>
      <c r="F35" s="3"/>
      <c r="G35" s="5">
        <v>48.12</v>
      </c>
      <c r="H35" s="5">
        <v>47.17</v>
      </c>
      <c r="I35" s="3"/>
      <c r="J35" s="3"/>
      <c r="K35" s="5">
        <v>10</v>
      </c>
      <c r="L35" s="3"/>
      <c r="M35" s="5">
        <v>15</v>
      </c>
      <c r="N35" s="5"/>
      <c r="O35" s="5"/>
      <c r="P35" s="3">
        <f t="shared" si="4"/>
        <v>1.0465419747716398</v>
      </c>
      <c r="Q35" s="3">
        <f t="shared" si="6"/>
        <v>1.0258808177468466</v>
      </c>
    </row>
    <row r="36" spans="2:17" x14ac:dyDescent="0.35">
      <c r="B36" s="3"/>
      <c r="C36" s="3"/>
      <c r="D36" s="3"/>
      <c r="E36" s="3"/>
      <c r="F36" s="3"/>
      <c r="G36" s="5">
        <v>48.55</v>
      </c>
      <c r="H36" s="5">
        <v>47.17</v>
      </c>
      <c r="I36" s="3"/>
      <c r="J36" s="3"/>
      <c r="K36" s="5">
        <v>10</v>
      </c>
      <c r="L36" s="3"/>
      <c r="M36" s="5">
        <v>15</v>
      </c>
      <c r="N36" s="5"/>
      <c r="O36" s="5"/>
      <c r="P36" s="3">
        <f t="shared" si="4"/>
        <v>1.0558938668986515</v>
      </c>
      <c r="Q36" s="3">
        <f t="shared" si="6"/>
        <v>1.0258808177468466</v>
      </c>
    </row>
    <row r="37" spans="2:17" x14ac:dyDescent="0.35">
      <c r="B37" s="3"/>
      <c r="C37" s="3"/>
      <c r="D37" s="3"/>
      <c r="E37" s="3"/>
      <c r="F37" s="3"/>
      <c r="G37" s="5">
        <v>48.64</v>
      </c>
      <c r="H37" s="5">
        <v>47.35</v>
      </c>
      <c r="I37" s="3"/>
      <c r="J37" s="3"/>
      <c r="K37" s="5">
        <v>10</v>
      </c>
      <c r="L37" s="3"/>
      <c r="M37" s="5">
        <v>15</v>
      </c>
      <c r="N37" s="5"/>
      <c r="O37" s="5"/>
      <c r="P37" s="3">
        <f t="shared" si="4"/>
        <v>1.0578512396694215</v>
      </c>
      <c r="Q37" s="3">
        <f t="shared" si="6"/>
        <v>1.0297955632883864</v>
      </c>
    </row>
    <row r="38" spans="2:17" x14ac:dyDescent="0.35">
      <c r="B38" s="3"/>
      <c r="C38" s="3"/>
      <c r="D38" s="3"/>
      <c r="E38" s="3"/>
      <c r="F38" s="3"/>
      <c r="G38" s="5"/>
      <c r="H38" s="5">
        <v>47.46</v>
      </c>
      <c r="I38" s="3"/>
      <c r="J38" s="3"/>
      <c r="K38" s="5">
        <v>10</v>
      </c>
      <c r="L38" s="3"/>
      <c r="M38" s="5">
        <v>15</v>
      </c>
      <c r="N38" s="5"/>
      <c r="O38" s="5"/>
      <c r="P38" s="3"/>
      <c r="Q38" s="3">
        <f t="shared" si="6"/>
        <v>1.0321879077859939</v>
      </c>
    </row>
    <row r="39" spans="2:17" x14ac:dyDescent="0.35">
      <c r="B39" s="3"/>
      <c r="C39" s="3"/>
      <c r="D39" s="3"/>
      <c r="E39" s="3"/>
      <c r="F39" s="3"/>
      <c r="G39" s="5"/>
      <c r="H39" s="5">
        <v>47.47</v>
      </c>
      <c r="I39" s="3"/>
      <c r="J39" s="3"/>
      <c r="K39" s="5">
        <v>10</v>
      </c>
      <c r="L39" s="5"/>
      <c r="M39" s="5">
        <v>15</v>
      </c>
      <c r="N39" s="5"/>
      <c r="O39" s="5"/>
      <c r="P39" s="5"/>
      <c r="Q39" s="3">
        <f t="shared" si="6"/>
        <v>1.0324053936494129</v>
      </c>
    </row>
    <row r="40" spans="2:17" x14ac:dyDescent="0.35">
      <c r="B40" s="3"/>
      <c r="C40" s="3"/>
      <c r="D40" s="3"/>
      <c r="E40" s="3"/>
      <c r="F40" s="3"/>
      <c r="G40" s="5"/>
      <c r="H40" s="5">
        <v>48.21</v>
      </c>
      <c r="I40" s="3"/>
      <c r="J40" s="3"/>
      <c r="K40" s="5">
        <v>10</v>
      </c>
      <c r="L40" s="3"/>
      <c r="M40" s="5">
        <v>15</v>
      </c>
      <c r="N40" s="5"/>
      <c r="O40" s="5"/>
      <c r="P40" s="5"/>
      <c r="Q40" s="3">
        <f t="shared" si="6"/>
        <v>1.0484993475424098</v>
      </c>
    </row>
    <row r="41" spans="2:17" x14ac:dyDescent="0.35">
      <c r="B41" s="3"/>
      <c r="C41" s="3"/>
      <c r="D41" s="3"/>
      <c r="E41" s="3"/>
      <c r="F41" s="3"/>
      <c r="G41" s="3"/>
      <c r="H41" s="5">
        <v>48.24</v>
      </c>
      <c r="I41" s="3"/>
      <c r="J41" s="3"/>
      <c r="K41" s="5">
        <v>10</v>
      </c>
      <c r="L41" s="3"/>
      <c r="M41" s="5">
        <v>15</v>
      </c>
      <c r="N41" s="5"/>
      <c r="O41" s="5"/>
      <c r="P41" s="5"/>
      <c r="Q41" s="3">
        <f t="shared" si="6"/>
        <v>1.0491518051326665</v>
      </c>
    </row>
    <row r="42" spans="2:17" x14ac:dyDescent="0.35">
      <c r="B42" s="3"/>
      <c r="C42" s="3"/>
      <c r="D42" s="3"/>
      <c r="E42" s="3"/>
      <c r="F42" s="3"/>
      <c r="G42" s="3"/>
      <c r="H42" s="5">
        <v>48.64</v>
      </c>
      <c r="I42" s="3"/>
      <c r="J42" s="3"/>
      <c r="K42" s="5">
        <v>10</v>
      </c>
      <c r="L42" s="3"/>
      <c r="M42" s="5">
        <v>15</v>
      </c>
      <c r="N42" s="3"/>
      <c r="O42" s="3"/>
      <c r="P42" s="3"/>
      <c r="Q42" s="3">
        <f t="shared" si="6"/>
        <v>1.0578512396694215</v>
      </c>
    </row>
    <row r="43" spans="2:17" x14ac:dyDescent="0.35">
      <c r="B43" s="3"/>
      <c r="C43" s="3"/>
      <c r="D43" s="3"/>
      <c r="E43" s="3"/>
      <c r="F43" s="3"/>
      <c r="G43" s="3"/>
      <c r="H43" s="5">
        <v>49.16</v>
      </c>
      <c r="I43" s="3"/>
      <c r="J43" s="3"/>
      <c r="K43" s="5">
        <v>10</v>
      </c>
      <c r="L43" s="3"/>
      <c r="M43" s="5">
        <v>15</v>
      </c>
      <c r="N43" s="3"/>
      <c r="O43" s="3"/>
      <c r="P43" s="3"/>
      <c r="Q43" s="3"/>
    </row>
    <row r="44" spans="2:17" x14ac:dyDescent="0.35">
      <c r="B44" s="3"/>
      <c r="C44" s="3"/>
      <c r="D44" s="3"/>
      <c r="E44" s="3"/>
      <c r="F44" s="3"/>
      <c r="G44" s="3"/>
      <c r="H44" s="3"/>
      <c r="I44" s="3"/>
      <c r="J44" s="3"/>
      <c r="K44" s="5">
        <v>10</v>
      </c>
      <c r="L44" s="3"/>
      <c r="M44" s="5">
        <v>15</v>
      </c>
      <c r="N44" s="3"/>
      <c r="O44" s="3"/>
      <c r="P44" s="5"/>
      <c r="Q44" s="3"/>
    </row>
    <row r="45" spans="2:17" x14ac:dyDescent="0.35">
      <c r="B45" s="3"/>
      <c r="C45" s="3"/>
      <c r="D45" s="3"/>
      <c r="E45" s="3"/>
      <c r="F45" s="3"/>
      <c r="G45" s="5">
        <v>49.61</v>
      </c>
      <c r="H45" s="5">
        <v>49.53</v>
      </c>
      <c r="I45" s="3"/>
      <c r="J45" s="3"/>
      <c r="K45" s="5">
        <v>10</v>
      </c>
      <c r="L45" s="3"/>
      <c r="M45" s="5">
        <v>15</v>
      </c>
      <c r="N45" s="3"/>
      <c r="O45" s="3"/>
      <c r="P45" s="5">
        <f>G45:G48/53.81</f>
        <v>0.92194759338412935</v>
      </c>
      <c r="Q45" s="3">
        <f>H45:H48/53.81</f>
        <v>0.92046088087716038</v>
      </c>
    </row>
    <row r="46" spans="2:17" x14ac:dyDescent="0.35">
      <c r="B46" s="3"/>
      <c r="C46" s="3"/>
      <c r="D46" s="3"/>
      <c r="E46" s="3"/>
      <c r="F46" s="3"/>
      <c r="G46" s="5">
        <v>54.33</v>
      </c>
      <c r="H46" s="5">
        <v>50.53</v>
      </c>
      <c r="I46" s="3"/>
      <c r="J46" s="3">
        <v>53.81</v>
      </c>
      <c r="K46" s="5">
        <v>10</v>
      </c>
      <c r="L46" s="3"/>
      <c r="M46" s="5">
        <v>15</v>
      </c>
      <c r="N46" s="3"/>
      <c r="O46" s="3"/>
      <c r="P46" s="5">
        <f t="shared" ref="P46:P48" si="7">G46:G49/53.81</f>
        <v>1.0096636312952982</v>
      </c>
      <c r="Q46" s="3">
        <f t="shared" ref="Q46:Q48" si="8">H46:H49/53.81</f>
        <v>0.93904478721427243</v>
      </c>
    </row>
    <row r="47" spans="2:17" x14ac:dyDescent="0.35">
      <c r="B47" s="3">
        <v>50</v>
      </c>
      <c r="C47" s="3"/>
      <c r="D47" s="3"/>
      <c r="E47" s="3"/>
      <c r="F47" s="3"/>
      <c r="G47" s="5">
        <v>55.04</v>
      </c>
      <c r="H47" s="5">
        <v>57.36</v>
      </c>
      <c r="I47" s="3"/>
      <c r="J47" s="3"/>
      <c r="K47" s="5">
        <v>10</v>
      </c>
      <c r="L47" s="3"/>
      <c r="M47" s="5">
        <v>15</v>
      </c>
      <c r="N47" s="3"/>
      <c r="O47" s="3"/>
      <c r="P47" s="5">
        <f t="shared" si="7"/>
        <v>1.0228582047946477</v>
      </c>
      <c r="Q47" s="3">
        <f t="shared" si="8"/>
        <v>1.0659728674967477</v>
      </c>
    </row>
    <row r="48" spans="2:17" x14ac:dyDescent="0.35">
      <c r="B48" s="3"/>
      <c r="C48" s="3"/>
      <c r="D48" s="3"/>
      <c r="E48" s="3"/>
      <c r="F48" s="3"/>
      <c r="G48" s="5">
        <v>55.52</v>
      </c>
      <c r="H48" s="5">
        <v>57.82</v>
      </c>
      <c r="I48" s="3"/>
      <c r="J48" s="3"/>
      <c r="K48" s="5">
        <v>10</v>
      </c>
      <c r="L48" s="3"/>
      <c r="M48" s="5">
        <v>15</v>
      </c>
      <c r="N48" s="3"/>
      <c r="O48" s="3"/>
      <c r="P48" s="5">
        <f t="shared" si="7"/>
        <v>1.0317784798364615</v>
      </c>
      <c r="Q48" s="3">
        <f t="shared" si="8"/>
        <v>1.0745214644118193</v>
      </c>
    </row>
    <row r="49" spans="2:17" x14ac:dyDescent="0.35">
      <c r="B49" s="3"/>
      <c r="C49" s="3"/>
      <c r="D49" s="3"/>
      <c r="E49" s="3"/>
      <c r="F49" s="3"/>
      <c r="G49" s="3"/>
      <c r="H49" s="3"/>
      <c r="I49" s="3"/>
      <c r="J49" s="3"/>
      <c r="K49" s="5">
        <v>10</v>
      </c>
      <c r="L49" s="3"/>
      <c r="M49" s="5">
        <v>15</v>
      </c>
      <c r="N49" s="3"/>
      <c r="O49" s="3"/>
      <c r="P49" s="5"/>
      <c r="Q49" s="3"/>
    </row>
    <row r="50" spans="2:17" x14ac:dyDescent="0.35">
      <c r="B50" s="3"/>
      <c r="C50" s="3"/>
      <c r="D50" s="3"/>
      <c r="E50" s="3"/>
      <c r="F50" s="3"/>
      <c r="G50" s="5">
        <v>60.3</v>
      </c>
      <c r="H50" s="5">
        <v>61.81</v>
      </c>
      <c r="I50" s="3"/>
      <c r="J50" s="3"/>
      <c r="K50" s="5">
        <v>10</v>
      </c>
      <c r="L50" s="3"/>
      <c r="M50" s="5">
        <v>15</v>
      </c>
      <c r="N50" s="3"/>
      <c r="O50" s="3"/>
      <c r="P50" s="5">
        <f>G50:G51/65.68</f>
        <v>0.9180876979293543</v>
      </c>
      <c r="Q50" s="3">
        <f>H50:H53/65.68</f>
        <v>0.94107795371498171</v>
      </c>
    </row>
    <row r="51" spans="2:17" x14ac:dyDescent="0.35">
      <c r="B51" s="3">
        <v>60</v>
      </c>
      <c r="C51" s="3"/>
      <c r="D51" s="3"/>
      <c r="E51" s="3"/>
      <c r="F51" s="3"/>
      <c r="G51" s="5">
        <v>60.46</v>
      </c>
      <c r="H51" s="5">
        <v>63.04</v>
      </c>
      <c r="I51" s="3"/>
      <c r="J51" s="3"/>
      <c r="K51" s="5">
        <v>10</v>
      </c>
      <c r="L51" s="3"/>
      <c r="M51" s="5">
        <v>15</v>
      </c>
      <c r="N51" s="3"/>
      <c r="O51" s="3"/>
      <c r="P51" s="5">
        <f>G51:G52/65.68</f>
        <v>0.92052375152253341</v>
      </c>
      <c r="Q51" s="3">
        <f>H51:H54/65.68</f>
        <v>0.95980511571254556</v>
      </c>
    </row>
    <row r="52" spans="2:17" x14ac:dyDescent="0.35">
      <c r="B52" s="3"/>
      <c r="C52" s="3"/>
      <c r="D52" s="3"/>
      <c r="E52" s="3"/>
      <c r="F52" s="3"/>
      <c r="G52" s="3"/>
      <c r="H52" s="5">
        <v>67.489999999999995</v>
      </c>
      <c r="I52" s="3"/>
      <c r="J52" s="3">
        <v>65.680000000000007</v>
      </c>
      <c r="K52" s="5">
        <v>10</v>
      </c>
      <c r="L52" s="3"/>
      <c r="M52" s="5">
        <v>15</v>
      </c>
      <c r="N52" s="3"/>
      <c r="O52" s="3"/>
      <c r="P52" s="3"/>
      <c r="Q52" s="3">
        <f>H52:H55/65.68</f>
        <v>1.0275578562728378</v>
      </c>
    </row>
    <row r="53" spans="2:17" x14ac:dyDescent="0.35">
      <c r="B53" s="3"/>
      <c r="C53" s="3"/>
      <c r="D53" s="3"/>
      <c r="E53" s="3"/>
      <c r="F53" s="3"/>
      <c r="G53" s="3"/>
      <c r="H53" s="5">
        <v>70.41</v>
      </c>
      <c r="I53" s="3"/>
      <c r="J53" s="3"/>
      <c r="K53" s="5">
        <v>10</v>
      </c>
      <c r="L53" s="3"/>
      <c r="M53" s="5">
        <v>15</v>
      </c>
      <c r="N53" s="3"/>
      <c r="O53" s="3"/>
      <c r="P53" s="3"/>
      <c r="Q53" s="3">
        <f>H53:H56/65.68</f>
        <v>1.0720158343483555</v>
      </c>
    </row>
  </sheetData>
  <sortState xmlns:xlrd2="http://schemas.microsoft.com/office/spreadsheetml/2017/richdata2" ref="H4:H40">
    <sortCondition ref="H4:H4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pvysh</cp:lastModifiedBy>
  <dcterms:created xsi:type="dcterms:W3CDTF">2017-03-14T08:51:45Z</dcterms:created>
  <dcterms:modified xsi:type="dcterms:W3CDTF">2021-11-15T11:53:06Z</dcterms:modified>
</cp:coreProperties>
</file>