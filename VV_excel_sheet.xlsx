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ysh\OneDrive\Desktop\"/>
    </mc:Choice>
  </mc:AlternateContent>
  <xr:revisionPtr revIDLastSave="0" documentId="8_{45E54600-9365-4C72-8B91-362EC74874B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" i="2" l="1"/>
  <c r="P52" i="2"/>
  <c r="P53" i="2"/>
  <c r="P50" i="2"/>
  <c r="O51" i="2"/>
  <c r="O50" i="2"/>
  <c r="P46" i="2"/>
  <c r="P47" i="2"/>
  <c r="P48" i="2"/>
  <c r="P45" i="2"/>
  <c r="O46" i="2"/>
  <c r="O47" i="2"/>
  <c r="O48" i="2"/>
  <c r="O45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16" i="2"/>
  <c r="N17" i="2"/>
  <c r="N18" i="2"/>
  <c r="N16" i="2"/>
  <c r="L17" i="2"/>
  <c r="L18" i="2"/>
  <c r="L19" i="2"/>
  <c r="L20" i="2"/>
  <c r="L16" i="2"/>
  <c r="P5" i="2"/>
  <c r="P6" i="2"/>
  <c r="P4" i="2"/>
  <c r="O5" i="2"/>
  <c r="O6" i="2"/>
  <c r="O7" i="2"/>
  <c r="O8" i="2"/>
  <c r="O9" i="2"/>
  <c r="O10" i="2"/>
  <c r="O11" i="2"/>
  <c r="O12" i="2"/>
  <c r="O13" i="2"/>
  <c r="O14" i="2"/>
  <c r="O4" i="2"/>
  <c r="N5" i="2"/>
  <c r="N6" i="2"/>
  <c r="N7" i="2"/>
  <c r="N8" i="2"/>
  <c r="N9" i="2"/>
  <c r="N10" i="2"/>
  <c r="N11" i="2"/>
  <c r="N12" i="2"/>
  <c r="N13" i="2"/>
  <c r="N14" i="2"/>
  <c r="N4" i="2"/>
  <c r="L5" i="2"/>
  <c r="L6" i="2"/>
  <c r="L7" i="2"/>
  <c r="L8" i="2"/>
  <c r="L9" i="2"/>
  <c r="L10" i="2"/>
  <c r="L11" i="2"/>
  <c r="L12" i="2"/>
  <c r="L4" i="2"/>
  <c r="D9" i="1"/>
  <c r="D2" i="1"/>
  <c r="D86" i="1"/>
  <c r="E9" i="1"/>
  <c r="I86" i="1" l="1"/>
  <c r="H86" i="1"/>
  <c r="G86" i="1"/>
  <c r="F86" i="1"/>
  <c r="E86" i="1"/>
  <c r="K86" i="1" s="1"/>
  <c r="I80" i="1"/>
  <c r="H80" i="1"/>
  <c r="G80" i="1"/>
  <c r="F80" i="1"/>
  <c r="E80" i="1"/>
  <c r="D80" i="1"/>
  <c r="K80" i="1"/>
  <c r="I48" i="1"/>
  <c r="H48" i="1"/>
  <c r="G48" i="1"/>
  <c r="F48" i="1"/>
  <c r="E48" i="1"/>
  <c r="D48" i="1"/>
  <c r="K48" i="1"/>
  <c r="I17" i="1"/>
  <c r="H17" i="1"/>
  <c r="G17" i="1"/>
  <c r="F17" i="1"/>
  <c r="E17" i="1"/>
  <c r="D17" i="1"/>
  <c r="I9" i="1"/>
  <c r="H9" i="1"/>
  <c r="G9" i="1"/>
  <c r="F9" i="1"/>
  <c r="I2" i="1"/>
  <c r="H2" i="1"/>
  <c r="G2" i="1"/>
  <c r="F2" i="1"/>
  <c r="E2" i="1"/>
  <c r="J9" i="1" l="1"/>
  <c r="J2" i="1"/>
  <c r="K17" i="1"/>
  <c r="K2" i="1"/>
  <c r="J86" i="1"/>
  <c r="J80" i="1"/>
  <c r="J48" i="1"/>
  <c r="J17" i="1"/>
  <c r="K9" i="1"/>
</calcChain>
</file>

<file path=xl/sharedStrings.xml><?xml version="1.0" encoding="utf-8"?>
<sst xmlns="http://schemas.openxmlformats.org/spreadsheetml/2006/main" count="37" uniqueCount="30">
  <si>
    <t>load</t>
  </si>
  <si>
    <t>stress</t>
  </si>
  <si>
    <t xml:space="preserve">sd </t>
  </si>
  <si>
    <t>average strength</t>
  </si>
  <si>
    <t>maximum</t>
  </si>
  <si>
    <t>skew</t>
  </si>
  <si>
    <t>kurt</t>
  </si>
  <si>
    <t>range</t>
  </si>
  <si>
    <t>COV</t>
  </si>
  <si>
    <t>fck  theoretical</t>
  </si>
  <si>
    <t>fck experimental</t>
  </si>
  <si>
    <t>cylinder</t>
  </si>
  <si>
    <t>10x20</t>
  </si>
  <si>
    <t>15x30</t>
  </si>
  <si>
    <t xml:space="preserve">                                            </t>
  </si>
  <si>
    <t>minimum</t>
  </si>
  <si>
    <t>cube</t>
  </si>
  <si>
    <t>10x10x10</t>
  </si>
  <si>
    <t>15x15x15</t>
  </si>
  <si>
    <t>prism</t>
  </si>
  <si>
    <t>10x10x50</t>
  </si>
  <si>
    <t>15x15x70</t>
  </si>
  <si>
    <t>fb analytical</t>
  </si>
  <si>
    <t>cy</t>
  </si>
  <si>
    <t xml:space="preserve">cu </t>
  </si>
  <si>
    <t>cu</t>
  </si>
  <si>
    <t>fc'</t>
  </si>
  <si>
    <t>fcy/fc'</t>
  </si>
  <si>
    <t>fcu/fc'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</si>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</sst>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0"/>
  <sheetViews>
    <sheetView topLeftCell="A59" workbookViewId="0">
      <selection activeCell="C48" sqref="C48:C77"/>
    </sheetView>
  </sheetViews>
  <sheetFormatPr defaultColWidth="9.1796875" defaultRowHeight="14.5" x14ac:dyDescent="0.35"/>
  <cols>
    <col min="1" max="11" width="9.1796875" style="2"/>
    <col min="12" max="12" width="13.26953125" style="2" customWidth="1"/>
    <col min="13" max="13" width="14" style="2" customWidth="1"/>
    <col min="14" max="16384" width="9.1796875" style="2"/>
  </cols>
  <sheetData>
    <row r="1" spans="1:14" ht="29" x14ac:dyDescent="0.35">
      <c r="A1" s="2" t="s">
        <v>11</v>
      </c>
      <c r="B1" s="2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15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  <c r="M1" s="1" t="s">
        <v>10</v>
      </c>
      <c r="N1" s="1" t="s">
        <v>22</v>
      </c>
    </row>
    <row r="2" spans="1:14" x14ac:dyDescent="0.35">
      <c r="A2" s="2" t="s">
        <v>12</v>
      </c>
      <c r="B2" s="2">
        <v>179.40799999999999</v>
      </c>
      <c r="C2" s="2">
        <v>22.85</v>
      </c>
      <c r="D2" s="2">
        <f>STDEV(C2:C7)</f>
        <v>1.123614702644995</v>
      </c>
      <c r="E2" s="2">
        <f>AVERAGE(C2:C7)</f>
        <v>22.614999999999998</v>
      </c>
      <c r="F2" s="2">
        <f>MAX(C2:C7)</f>
        <v>23.88</v>
      </c>
      <c r="G2" s="2">
        <f>MIN(C2:C7)</f>
        <v>21.09</v>
      </c>
      <c r="H2" s="2">
        <f>SKEW(C2:C7)</f>
        <v>4.4918322304914325E-4</v>
      </c>
      <c r="I2" s="2">
        <f>KURT(C2:C7)</f>
        <v>-1.5337499728480362</v>
      </c>
      <c r="J2" s="2">
        <f>F2-G2</f>
        <v>2.7899999999999991</v>
      </c>
      <c r="K2" s="2">
        <f>(D2/E2)*100</f>
        <v>4.9684488288525097</v>
      </c>
      <c r="L2" s="2">
        <v>35</v>
      </c>
      <c r="M2" s="2">
        <v>20.309999999999999</v>
      </c>
    </row>
    <row r="3" spans="1:14" x14ac:dyDescent="0.35">
      <c r="B3" s="2">
        <v>139.74299999999999</v>
      </c>
      <c r="C3" s="2">
        <v>22</v>
      </c>
    </row>
    <row r="4" spans="1:14" x14ac:dyDescent="0.35">
      <c r="B4" s="2">
        <v>172.529</v>
      </c>
      <c r="C4" s="2">
        <v>22</v>
      </c>
    </row>
    <row r="5" spans="1:14" x14ac:dyDescent="0.35">
      <c r="B5" s="2">
        <v>165.56</v>
      </c>
      <c r="C5" s="2">
        <v>21.09</v>
      </c>
    </row>
    <row r="6" spans="1:14" x14ac:dyDescent="0.35">
      <c r="B6" s="2">
        <v>187.34100000000001</v>
      </c>
      <c r="C6" s="2">
        <v>23.87</v>
      </c>
      <c r="D6" s="2" t="s">
        <v>14</v>
      </c>
    </row>
    <row r="7" spans="1:14" x14ac:dyDescent="0.35">
      <c r="B7" s="2">
        <v>187.458</v>
      </c>
      <c r="C7" s="2">
        <v>23.88</v>
      </c>
    </row>
    <row r="9" spans="1:14" x14ac:dyDescent="0.35">
      <c r="A9" s="2" t="s">
        <v>13</v>
      </c>
      <c r="B9" s="2">
        <v>430.50299999999999</v>
      </c>
      <c r="C9" s="2">
        <v>24.37</v>
      </c>
      <c r="D9" s="2">
        <f>STDEV(C9:C14)</f>
        <v>2.1180336793041477</v>
      </c>
      <c r="E9" s="2">
        <f>AVERAGE(C9:C14)</f>
        <v>25.423333333333336</v>
      </c>
      <c r="F9" s="2">
        <f>MAX(C9:C14)</f>
        <v>28.86</v>
      </c>
      <c r="G9" s="2">
        <f>MIN(C9:C14)</f>
        <v>22.96</v>
      </c>
      <c r="H9" s="2">
        <f>SKEW(C9:C14)</f>
        <v>0.74956743443815177</v>
      </c>
      <c r="I9" s="2">
        <f>KURT(C9:C14)</f>
        <v>0.12807714409500459</v>
      </c>
      <c r="J9" s="2">
        <f>F9-G9</f>
        <v>5.8999999999999986</v>
      </c>
      <c r="K9" s="2">
        <f>(D9/E9)*100</f>
        <v>8.3310620662284549</v>
      </c>
      <c r="L9" s="2">
        <v>35</v>
      </c>
      <c r="M9" s="2">
        <v>21.93</v>
      </c>
    </row>
    <row r="10" spans="1:14" x14ac:dyDescent="0.35">
      <c r="B10" s="2">
        <v>509.67200000000003</v>
      </c>
      <c r="C10" s="2">
        <v>28.86</v>
      </c>
    </row>
    <row r="11" spans="1:14" x14ac:dyDescent="0.35">
      <c r="B11" s="2">
        <v>452.97300000000001</v>
      </c>
      <c r="C11" s="2">
        <v>25.65</v>
      </c>
    </row>
    <row r="12" spans="1:14" x14ac:dyDescent="0.35">
      <c r="B12" s="2">
        <v>405.59399999999999</v>
      </c>
      <c r="C12" s="2">
        <v>22.96</v>
      </c>
    </row>
    <row r="13" spans="1:14" x14ac:dyDescent="0.35">
      <c r="B13" s="2">
        <v>470.68200000000002</v>
      </c>
      <c r="C13" s="2">
        <v>26.65</v>
      </c>
    </row>
    <row r="14" spans="1:14" x14ac:dyDescent="0.35">
      <c r="B14" s="2">
        <v>242.74</v>
      </c>
      <c r="C14" s="2">
        <v>24.05</v>
      </c>
    </row>
    <row r="16" spans="1:14" x14ac:dyDescent="0.35">
      <c r="A16" s="2" t="s">
        <v>16</v>
      </c>
    </row>
    <row r="17" spans="1:13" x14ac:dyDescent="0.35">
      <c r="A17" s="2" t="s">
        <v>17</v>
      </c>
      <c r="B17" s="2">
        <v>451.70100000000002</v>
      </c>
      <c r="C17" s="2">
        <v>45.17</v>
      </c>
      <c r="D17" s="2">
        <f>_xlfn.STDEV.S(C17:C46)</f>
        <v>3.5572741727662605</v>
      </c>
      <c r="E17" s="2">
        <f>AVERAGE(C17:C46)</f>
        <v>43.032666666666657</v>
      </c>
      <c r="F17" s="2">
        <f>MAX(C17:C46)</f>
        <v>48.64</v>
      </c>
      <c r="G17" s="2">
        <f>MIN(C17:C46)</f>
        <v>36.85</v>
      </c>
      <c r="H17" s="2">
        <f>SKEW(C17:C46)</f>
        <v>-0.19206148572876283</v>
      </c>
      <c r="I17" s="2">
        <f>KURT(C17:C46)</f>
        <v>-1.0416978487673823</v>
      </c>
      <c r="J17" s="2">
        <f>F17-G17</f>
        <v>11.79</v>
      </c>
      <c r="K17" s="2">
        <f>(D17/E17)*100</f>
        <v>8.2664506950524288</v>
      </c>
      <c r="L17" s="2">
        <v>35</v>
      </c>
      <c r="M17" s="2">
        <v>37.159999999999997</v>
      </c>
    </row>
    <row r="18" spans="1:13" x14ac:dyDescent="0.35">
      <c r="B18" s="2">
        <v>441.48200000000003</v>
      </c>
      <c r="C18" s="2">
        <v>44.15</v>
      </c>
    </row>
    <row r="19" spans="1:13" x14ac:dyDescent="0.35">
      <c r="B19" s="2">
        <v>379.77300000000002</v>
      </c>
      <c r="C19" s="2">
        <v>37.9</v>
      </c>
    </row>
    <row r="20" spans="1:13" x14ac:dyDescent="0.35">
      <c r="B20" s="2">
        <v>445.51299999999998</v>
      </c>
      <c r="C20" s="2">
        <v>44.56</v>
      </c>
    </row>
    <row r="21" spans="1:13" x14ac:dyDescent="0.35">
      <c r="B21" s="2">
        <v>368.49700000000001</v>
      </c>
      <c r="C21" s="2">
        <v>36.85</v>
      </c>
    </row>
    <row r="22" spans="1:13" x14ac:dyDescent="0.35">
      <c r="B22" s="2">
        <v>390.01</v>
      </c>
      <c r="C22" s="2">
        <v>39</v>
      </c>
    </row>
    <row r="23" spans="1:13" x14ac:dyDescent="0.35">
      <c r="B23" s="2">
        <v>416.07600000000002</v>
      </c>
      <c r="C23" s="2">
        <v>41.61</v>
      </c>
    </row>
    <row r="24" spans="1:13" x14ac:dyDescent="0.35">
      <c r="B24" s="2">
        <v>411.72300000000001</v>
      </c>
      <c r="C24" s="2">
        <v>41.17</v>
      </c>
    </row>
    <row r="25" spans="1:13" x14ac:dyDescent="0.35">
      <c r="B25" s="2">
        <v>379.29</v>
      </c>
      <c r="C25" s="2">
        <v>37.93</v>
      </c>
    </row>
    <row r="26" spans="1:13" x14ac:dyDescent="0.35">
      <c r="B26" s="2">
        <v>447.41699999999997</v>
      </c>
      <c r="C26" s="2">
        <v>44.74</v>
      </c>
    </row>
    <row r="27" spans="1:13" x14ac:dyDescent="0.35">
      <c r="B27" s="2">
        <v>467.51</v>
      </c>
      <c r="C27" s="2">
        <v>46.75</v>
      </c>
    </row>
    <row r="28" spans="1:13" x14ac:dyDescent="0.35">
      <c r="B28" s="2">
        <v>481.23200000000003</v>
      </c>
      <c r="C28" s="2">
        <v>48.12</v>
      </c>
    </row>
    <row r="29" spans="1:13" x14ac:dyDescent="0.35">
      <c r="B29" s="2">
        <v>435.64699999999999</v>
      </c>
      <c r="C29" s="2">
        <v>43.55</v>
      </c>
    </row>
    <row r="30" spans="1:13" x14ac:dyDescent="0.35">
      <c r="B30" s="2">
        <v>387.62299999999999</v>
      </c>
      <c r="C30" s="2">
        <v>38.76</v>
      </c>
    </row>
    <row r="31" spans="1:13" x14ac:dyDescent="0.35">
      <c r="B31" s="2">
        <v>422.34300000000002</v>
      </c>
      <c r="C31" s="2">
        <v>42.23</v>
      </c>
    </row>
    <row r="32" spans="1:13" x14ac:dyDescent="0.35">
      <c r="B32" s="2">
        <v>485.64800000000002</v>
      </c>
      <c r="C32" s="2">
        <v>48.55</v>
      </c>
    </row>
    <row r="33" spans="1:13" x14ac:dyDescent="0.35">
      <c r="B33" s="2">
        <v>378.81299999999999</v>
      </c>
      <c r="C33" s="2">
        <v>37.880000000000003</v>
      </c>
    </row>
    <row r="34" spans="1:13" x14ac:dyDescent="0.35">
      <c r="B34" s="2">
        <v>477.709</v>
      </c>
      <c r="C34" s="2">
        <v>47.77</v>
      </c>
    </row>
    <row r="35" spans="1:13" x14ac:dyDescent="0.35">
      <c r="B35" s="2">
        <v>486.435</v>
      </c>
      <c r="C35" s="2">
        <v>48.64</v>
      </c>
    </row>
    <row r="36" spans="1:13" x14ac:dyDescent="0.35">
      <c r="B36" s="2">
        <v>456.40699999999998</v>
      </c>
      <c r="C36" s="2">
        <v>45.64</v>
      </c>
    </row>
    <row r="37" spans="1:13" x14ac:dyDescent="0.35">
      <c r="B37" s="2">
        <v>434.60700000000003</v>
      </c>
      <c r="C37" s="2">
        <v>43.46</v>
      </c>
    </row>
    <row r="38" spans="1:13" x14ac:dyDescent="0.35">
      <c r="B38" s="2">
        <v>467.16500000000002</v>
      </c>
      <c r="C38" s="2">
        <v>46.72</v>
      </c>
    </row>
    <row r="39" spans="1:13" x14ac:dyDescent="0.35">
      <c r="B39" s="2">
        <v>445.089</v>
      </c>
      <c r="C39" s="2">
        <v>44.51</v>
      </c>
    </row>
    <row r="40" spans="1:13" x14ac:dyDescent="0.35">
      <c r="B40" s="2">
        <v>447.16899999999998</v>
      </c>
      <c r="C40" s="2">
        <v>44.71</v>
      </c>
    </row>
    <row r="41" spans="1:13" x14ac:dyDescent="0.35">
      <c r="B41" s="2">
        <v>376.98899999999998</v>
      </c>
      <c r="C41" s="2">
        <v>37.69</v>
      </c>
    </row>
    <row r="42" spans="1:13" x14ac:dyDescent="0.35">
      <c r="B42" s="2">
        <v>416.00700000000001</v>
      </c>
      <c r="C42" s="2">
        <v>41.6</v>
      </c>
    </row>
    <row r="43" spans="1:13" x14ac:dyDescent="0.35">
      <c r="B43" s="2">
        <v>399.51400000000001</v>
      </c>
      <c r="C43" s="2">
        <v>39.950000000000003</v>
      </c>
    </row>
    <row r="44" spans="1:13" x14ac:dyDescent="0.35">
      <c r="B44" s="2">
        <v>455.95699999999999</v>
      </c>
      <c r="C44" s="2">
        <v>45.59</v>
      </c>
    </row>
    <row r="45" spans="1:13" x14ac:dyDescent="0.35">
      <c r="B45" s="2">
        <v>420.11200000000002</v>
      </c>
      <c r="C45" s="2">
        <v>42.01</v>
      </c>
    </row>
    <row r="46" spans="1:13" x14ac:dyDescent="0.35">
      <c r="B46" s="2">
        <v>437.64699999999999</v>
      </c>
      <c r="C46" s="2">
        <v>43.77</v>
      </c>
    </row>
    <row r="48" spans="1:13" x14ac:dyDescent="0.35">
      <c r="A48" s="2" t="s">
        <v>18</v>
      </c>
      <c r="B48" s="2">
        <v>1019.09</v>
      </c>
      <c r="C48" s="2">
        <v>45.29</v>
      </c>
      <c r="D48" s="2">
        <f>_xlfn.STDEV.S(C48:C77)</f>
        <v>2.2140779716098113</v>
      </c>
      <c r="E48" s="2">
        <f>AVERAGE(C48:C77)</f>
        <v>46.25633333333333</v>
      </c>
      <c r="F48" s="2">
        <f>MAX(C48:C77)</f>
        <v>50.53</v>
      </c>
      <c r="G48" s="2">
        <f>MIN(C48:C77)</f>
        <v>39.24</v>
      </c>
      <c r="H48" s="2">
        <f>SKEW(C48:C77)</f>
        <v>-0.88757710267107492</v>
      </c>
      <c r="I48" s="2">
        <f>KURT(C48:C77)</f>
        <v>2.4029992912915428</v>
      </c>
      <c r="J48" s="2">
        <f>F48-G48</f>
        <v>11.29</v>
      </c>
      <c r="K48" s="2">
        <f>(D48/E48)*100</f>
        <v>4.7865401601434288</v>
      </c>
      <c r="L48" s="2">
        <v>35</v>
      </c>
      <c r="M48" s="2">
        <v>39.6</v>
      </c>
    </row>
    <row r="49" spans="2:4" x14ac:dyDescent="0.35">
      <c r="B49" s="2">
        <v>974.76900000000001</v>
      </c>
      <c r="C49" s="2">
        <v>43.32</v>
      </c>
    </row>
    <row r="50" spans="2:4" x14ac:dyDescent="0.35">
      <c r="B50" s="2">
        <v>1061.279</v>
      </c>
      <c r="C50" s="2">
        <v>47.17</v>
      </c>
    </row>
    <row r="51" spans="2:4" x14ac:dyDescent="0.35">
      <c r="B51" s="2">
        <v>1024.4359999999999</v>
      </c>
      <c r="C51" s="2">
        <v>45.53</v>
      </c>
    </row>
    <row r="52" spans="2:4" x14ac:dyDescent="0.35">
      <c r="B52" s="2">
        <v>1018.3680000000001</v>
      </c>
      <c r="C52" s="2">
        <v>47.17</v>
      </c>
      <c r="D52" s="2" t="s">
        <v>14</v>
      </c>
    </row>
    <row r="53" spans="2:4" x14ac:dyDescent="0.35">
      <c r="B53" s="2">
        <v>1068.125</v>
      </c>
      <c r="C53" s="2">
        <v>47.47</v>
      </c>
    </row>
    <row r="54" spans="2:4" x14ac:dyDescent="0.35">
      <c r="B54" s="2">
        <v>1067.875</v>
      </c>
      <c r="C54" s="2">
        <v>47.46</v>
      </c>
    </row>
    <row r="55" spans="2:4" x14ac:dyDescent="0.35">
      <c r="B55" s="2">
        <v>1024.797</v>
      </c>
      <c r="C55" s="2">
        <v>45.55</v>
      </c>
    </row>
    <row r="56" spans="2:4" x14ac:dyDescent="0.35">
      <c r="B56" s="2">
        <v>1033.713</v>
      </c>
      <c r="C56" s="2">
        <v>45.94</v>
      </c>
    </row>
    <row r="57" spans="2:4" x14ac:dyDescent="0.35">
      <c r="B57" s="2">
        <v>1039.914</v>
      </c>
      <c r="C57" s="2">
        <v>46.22</v>
      </c>
    </row>
    <row r="58" spans="2:4" x14ac:dyDescent="0.35">
      <c r="B58" s="2">
        <v>974.81799999999998</v>
      </c>
      <c r="C58" s="2">
        <v>43.33</v>
      </c>
    </row>
    <row r="59" spans="2:4" x14ac:dyDescent="0.35">
      <c r="B59" s="2">
        <v>1084.665</v>
      </c>
      <c r="C59" s="2">
        <v>48.21</v>
      </c>
    </row>
    <row r="60" spans="2:4" x14ac:dyDescent="0.35">
      <c r="B60" s="2">
        <v>1027.7760000000001</v>
      </c>
      <c r="C60" s="2">
        <v>45.68</v>
      </c>
    </row>
    <row r="61" spans="2:4" x14ac:dyDescent="0.35">
      <c r="B61" s="2">
        <v>1052.9949999999999</v>
      </c>
      <c r="C61" s="2">
        <v>46.8</v>
      </c>
    </row>
    <row r="62" spans="2:4" x14ac:dyDescent="0.35">
      <c r="B62" s="2">
        <v>1136.9570000000001</v>
      </c>
      <c r="C62" s="2">
        <v>50.53</v>
      </c>
    </row>
    <row r="63" spans="2:4" x14ac:dyDescent="0.35">
      <c r="B63" s="2">
        <v>1036.31</v>
      </c>
      <c r="C63" s="2">
        <v>46.06</v>
      </c>
    </row>
    <row r="64" spans="2:4" x14ac:dyDescent="0.35">
      <c r="B64" s="2">
        <v>1106.0999999999999</v>
      </c>
      <c r="C64" s="2">
        <v>49.16</v>
      </c>
    </row>
    <row r="65" spans="1:15" x14ac:dyDescent="0.35">
      <c r="B65" s="2">
        <v>1085.47</v>
      </c>
      <c r="C65" s="2">
        <v>48.24</v>
      </c>
    </row>
    <row r="66" spans="1:15" x14ac:dyDescent="0.35">
      <c r="B66" s="2">
        <v>1054.5989999999999</v>
      </c>
      <c r="C66" s="2">
        <v>46.87</v>
      </c>
    </row>
    <row r="67" spans="1:15" x14ac:dyDescent="0.35">
      <c r="B67" s="2">
        <v>1052.4259999999999</v>
      </c>
      <c r="C67" s="2">
        <v>46.77</v>
      </c>
    </row>
    <row r="68" spans="1:15" x14ac:dyDescent="0.35">
      <c r="B68" s="2">
        <v>1013.966</v>
      </c>
      <c r="C68" s="2">
        <v>45.07</v>
      </c>
    </row>
    <row r="69" spans="1:15" x14ac:dyDescent="0.35">
      <c r="B69" s="2">
        <v>1065.32</v>
      </c>
      <c r="C69" s="2">
        <v>47.35</v>
      </c>
    </row>
    <row r="70" spans="1:15" x14ac:dyDescent="0.35">
      <c r="B70" s="2">
        <v>992.47500000000002</v>
      </c>
      <c r="C70" s="2">
        <v>44.11</v>
      </c>
    </row>
    <row r="71" spans="1:15" x14ac:dyDescent="0.35">
      <c r="B71" s="2">
        <v>1040.5319999999999</v>
      </c>
      <c r="C71" s="2">
        <v>46.25</v>
      </c>
    </row>
    <row r="72" spans="1:15" x14ac:dyDescent="0.35">
      <c r="B72" s="2">
        <v>11140411</v>
      </c>
      <c r="C72" s="2">
        <v>49.53</v>
      </c>
    </row>
    <row r="73" spans="1:15" x14ac:dyDescent="0.35">
      <c r="B73" s="2">
        <v>1094.2950000000001</v>
      </c>
      <c r="C73" s="2">
        <v>48.64</v>
      </c>
    </row>
    <row r="74" spans="1:15" x14ac:dyDescent="0.35">
      <c r="B74" s="2">
        <v>882.822</v>
      </c>
      <c r="C74" s="2">
        <v>39.24</v>
      </c>
    </row>
    <row r="75" spans="1:15" x14ac:dyDescent="0.35">
      <c r="B75" s="2">
        <v>977.19299999999998</v>
      </c>
      <c r="C75" s="2">
        <v>43.43</v>
      </c>
    </row>
    <row r="76" spans="1:15" x14ac:dyDescent="0.35">
      <c r="B76" s="2">
        <v>1043.124</v>
      </c>
      <c r="C76" s="2">
        <v>46.36</v>
      </c>
    </row>
    <row r="77" spans="1:15" x14ac:dyDescent="0.35">
      <c r="B77" s="2">
        <v>1011.131</v>
      </c>
      <c r="C77" s="2">
        <v>44.94</v>
      </c>
    </row>
    <row r="79" spans="1:15" x14ac:dyDescent="0.35">
      <c r="A79" s="2" t="s">
        <v>19</v>
      </c>
    </row>
    <row r="80" spans="1:15" x14ac:dyDescent="0.35">
      <c r="A80" s="2" t="s">
        <v>20</v>
      </c>
      <c r="B80" s="2">
        <v>10.01</v>
      </c>
      <c r="C80" s="2">
        <v>4.0039999999999996</v>
      </c>
      <c r="D80" s="2">
        <f>_xlfn.STDEV.S(C80:C84)</f>
        <v>0.17519931506715419</v>
      </c>
      <c r="E80" s="2">
        <f>AVERAGE(C80:C84)</f>
        <v>3.8823999999999996</v>
      </c>
      <c r="F80" s="2">
        <f>MAX(C80:C84)</f>
        <v>4.0039999999999996</v>
      </c>
      <c r="G80" s="2">
        <f>MIN(C80:C84)</f>
        <v>3.59</v>
      </c>
      <c r="H80" s="2">
        <f>SKEW(C80:C84)</f>
        <v>-1.6188841981396149</v>
      </c>
      <c r="I80" s="2">
        <f>KURT(C80:C84)</f>
        <v>2.3386118175737138</v>
      </c>
      <c r="J80" s="2">
        <f>F80-G80</f>
        <v>0.4139999999999997</v>
      </c>
      <c r="K80" s="2">
        <f>(D80/E80)*100</f>
        <v>4.5126549316699514</v>
      </c>
      <c r="L80" s="2">
        <v>35</v>
      </c>
      <c r="M80" s="2">
        <v>3.59</v>
      </c>
      <c r="N80" s="2">
        <v>4.5919999999999996</v>
      </c>
      <c r="O80" s="3"/>
    </row>
    <row r="81" spans="1:14" x14ac:dyDescent="0.35">
      <c r="B81" s="2">
        <v>8.9629999999999992</v>
      </c>
      <c r="C81" s="2">
        <v>3.59</v>
      </c>
    </row>
    <row r="82" spans="1:14" x14ac:dyDescent="0.35">
      <c r="B82" s="2">
        <v>9.6159999999999997</v>
      </c>
      <c r="C82" s="2">
        <v>3.85</v>
      </c>
    </row>
    <row r="83" spans="1:14" x14ac:dyDescent="0.35">
      <c r="B83" s="2">
        <v>10.01</v>
      </c>
      <c r="C83" s="2">
        <v>4.0039999999999996</v>
      </c>
    </row>
    <row r="84" spans="1:14" x14ac:dyDescent="0.35">
      <c r="B84" s="2">
        <v>9.9109999999999996</v>
      </c>
      <c r="C84" s="2">
        <v>3.964</v>
      </c>
      <c r="D84" s="2" t="s">
        <v>14</v>
      </c>
    </row>
    <row r="86" spans="1:14" x14ac:dyDescent="0.35">
      <c r="A86" s="2" t="s">
        <v>21</v>
      </c>
      <c r="B86" s="2">
        <v>23.385999999999999</v>
      </c>
      <c r="C86" s="2">
        <v>4.1539999999999999</v>
      </c>
      <c r="D86" s="2">
        <f>STDEV(C86:C90)</f>
        <v>0.38461240229612975</v>
      </c>
      <c r="E86" s="2">
        <f>AVERAGE(C86:C91)</f>
        <v>3.4727999999999994</v>
      </c>
      <c r="F86" s="2">
        <f>MAX(C86:C91)</f>
        <v>4.1539999999999999</v>
      </c>
      <c r="G86" s="2">
        <f>MIN(C86:C91)</f>
        <v>3.234</v>
      </c>
      <c r="H86" s="2">
        <f>SKEW(C86:C91)</f>
        <v>2.1261832256912494</v>
      </c>
      <c r="I86" s="2">
        <f>KURT(C86:C91)</f>
        <v>4.6131392727348306</v>
      </c>
      <c r="J86" s="2">
        <f>F86-G86</f>
        <v>0.91999999999999993</v>
      </c>
      <c r="K86" s="2">
        <f>(D86/E86)*100</f>
        <v>11.074994307075842</v>
      </c>
      <c r="L86" s="2">
        <v>35</v>
      </c>
      <c r="M86" s="2">
        <v>2.84</v>
      </c>
      <c r="N86" s="2">
        <v>4.7610000000000001</v>
      </c>
    </row>
    <row r="87" spans="1:14" x14ac:dyDescent="0.35">
      <c r="B87" s="2">
        <v>18.829000000000001</v>
      </c>
      <c r="C87" s="2">
        <v>3.347</v>
      </c>
    </row>
    <row r="88" spans="1:14" x14ac:dyDescent="0.35">
      <c r="B88" s="2">
        <v>18.917000000000002</v>
      </c>
      <c r="C88" s="2">
        <v>3.363</v>
      </c>
    </row>
    <row r="89" spans="1:14" x14ac:dyDescent="0.35">
      <c r="B89" s="2">
        <v>18.189</v>
      </c>
      <c r="C89" s="2">
        <v>3.234</v>
      </c>
    </row>
    <row r="90" spans="1:14" x14ac:dyDescent="0.35">
      <c r="B90" s="2">
        <v>18.373000000000001</v>
      </c>
      <c r="C90" s="2">
        <v>3.266</v>
      </c>
      <c r="D90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2ED0-92B3-4624-8081-E5446D3638AF}">
  <dimension ref="B1:P53"/>
  <sheetViews>
    <sheetView tabSelected="1" workbookViewId="0">
      <selection activeCell="K1" sqref="K1:K1048576"/>
    </sheetView>
  </sheetViews>
  <sheetFormatPr defaultRowHeight="14.5" x14ac:dyDescent="0.35"/>
  <sheetData>
    <row r="1" spans="2:16" x14ac:dyDescent="0.35">
      <c r="C1" t="s">
        <v>23</v>
      </c>
      <c r="D1" t="s">
        <v>23</v>
      </c>
      <c r="G1" t="s">
        <v>24</v>
      </c>
      <c r="H1" t="s">
        <v>25</v>
      </c>
      <c r="J1" t="s">
        <v>26</v>
      </c>
      <c r="K1" t="s">
        <v>29</v>
      </c>
      <c r="L1" t="s">
        <v>27</v>
      </c>
      <c r="M1" t="s">
        <v>29</v>
      </c>
      <c r="N1" t="s">
        <v>27</v>
      </c>
      <c r="O1" t="s">
        <v>28</v>
      </c>
      <c r="P1" t="s">
        <v>28</v>
      </c>
    </row>
    <row r="2" spans="2:16" x14ac:dyDescent="0.35">
      <c r="C2">
        <v>100</v>
      </c>
      <c r="D2">
        <v>150</v>
      </c>
      <c r="G2">
        <v>100</v>
      </c>
      <c r="H2">
        <v>150</v>
      </c>
      <c r="J2">
        <v>150</v>
      </c>
      <c r="L2">
        <v>100</v>
      </c>
      <c r="N2">
        <v>150</v>
      </c>
      <c r="O2">
        <v>100</v>
      </c>
      <c r="P2">
        <v>150</v>
      </c>
    </row>
    <row r="4" spans="2:16" x14ac:dyDescent="0.35">
      <c r="C4" s="4">
        <v>20.190000000000001</v>
      </c>
      <c r="D4" s="2">
        <v>20.85</v>
      </c>
      <c r="E4" s="2"/>
      <c r="G4" s="2">
        <v>30.15</v>
      </c>
      <c r="H4" s="2">
        <v>32.299999999999997</v>
      </c>
      <c r="K4" s="2">
        <v>10</v>
      </c>
      <c r="L4" s="2">
        <f>C4:C12/33.92</f>
        <v>0.59522405660377364</v>
      </c>
      <c r="M4" s="2">
        <v>15</v>
      </c>
      <c r="N4" s="2">
        <f>D4:D14/33.92</f>
        <v>0.61468160377358494</v>
      </c>
      <c r="O4">
        <f>G4:G14/33.92</f>
        <v>0.88885613207547165</v>
      </c>
      <c r="P4">
        <f>H4:H6/33.92</f>
        <v>0.95224056603773577</v>
      </c>
    </row>
    <row r="5" spans="2:16" x14ac:dyDescent="0.35">
      <c r="C5" s="5">
        <v>21.09</v>
      </c>
      <c r="D5" s="2">
        <v>21.4</v>
      </c>
      <c r="E5" s="2"/>
      <c r="G5" s="2">
        <v>30.75</v>
      </c>
      <c r="H5" s="2">
        <v>33.58</v>
      </c>
      <c r="J5">
        <v>33.92</v>
      </c>
      <c r="K5" s="2">
        <v>10</v>
      </c>
      <c r="L5" s="2">
        <f t="shared" ref="L5:L12" si="0">C5:C13/33.92</f>
        <v>0.62175707547169812</v>
      </c>
      <c r="M5" s="2">
        <v>15</v>
      </c>
      <c r="N5" s="2">
        <f>D5:D15/33.92</f>
        <v>0.63089622641509424</v>
      </c>
      <c r="O5">
        <f t="shared" ref="O5:O14" si="1">G5:G15/33.92</f>
        <v>0.90654481132075471</v>
      </c>
      <c r="P5">
        <f t="shared" ref="P5:P6" si="2">H5:H7/33.92</f>
        <v>0.98997641509433953</v>
      </c>
    </row>
    <row r="6" spans="2:16" x14ac:dyDescent="0.35">
      <c r="C6" s="5">
        <v>22</v>
      </c>
      <c r="D6" s="2">
        <v>22.96</v>
      </c>
      <c r="E6" s="2"/>
      <c r="G6" s="2">
        <v>33.69</v>
      </c>
      <c r="H6" s="2">
        <v>35.89</v>
      </c>
      <c r="K6" s="2">
        <v>10</v>
      </c>
      <c r="L6" s="2">
        <f t="shared" si="0"/>
        <v>0.6485849056603773</v>
      </c>
      <c r="M6" s="2">
        <v>15</v>
      </c>
      <c r="N6" s="2">
        <f>D6:D16/33.92</f>
        <v>0.67688679245283023</v>
      </c>
      <c r="O6">
        <f t="shared" si="1"/>
        <v>0.99321933962264142</v>
      </c>
      <c r="P6">
        <f t="shared" si="2"/>
        <v>1.0580778301886793</v>
      </c>
    </row>
    <row r="7" spans="2:16" x14ac:dyDescent="0.35">
      <c r="B7">
        <v>30</v>
      </c>
      <c r="C7" s="5">
        <v>22</v>
      </c>
      <c r="D7" s="2">
        <v>24.05</v>
      </c>
      <c r="E7" s="2"/>
      <c r="G7" s="2">
        <v>36.85</v>
      </c>
      <c r="H7" s="2"/>
      <c r="K7" s="2">
        <v>10</v>
      </c>
      <c r="L7" s="2">
        <f t="shared" si="0"/>
        <v>0.6485849056603773</v>
      </c>
      <c r="M7" s="2">
        <v>15</v>
      </c>
      <c r="N7" s="2">
        <f>D7:D17/33.92</f>
        <v>0.70902122641509435</v>
      </c>
      <c r="O7">
        <f t="shared" si="1"/>
        <v>1.086379716981132</v>
      </c>
    </row>
    <row r="8" spans="2:16" x14ac:dyDescent="0.35">
      <c r="C8" s="5">
        <v>22.85</v>
      </c>
      <c r="D8" s="2">
        <v>24.37</v>
      </c>
      <c r="E8" s="2"/>
      <c r="G8" s="2">
        <v>37.69</v>
      </c>
      <c r="H8" s="2"/>
      <c r="K8" s="2">
        <v>10</v>
      </c>
      <c r="L8" s="2">
        <f t="shared" si="0"/>
        <v>0.67364386792452835</v>
      </c>
      <c r="M8" s="2">
        <v>15</v>
      </c>
      <c r="N8" s="2">
        <f>D8:D18/33.92</f>
        <v>0.71845518867924529</v>
      </c>
      <c r="O8">
        <f t="shared" si="1"/>
        <v>1.1111438679245282</v>
      </c>
    </row>
    <row r="9" spans="2:16" x14ac:dyDescent="0.35">
      <c r="C9" s="5">
        <v>23.87</v>
      </c>
      <c r="D9" s="2">
        <v>25.31</v>
      </c>
      <c r="E9" s="2"/>
      <c r="G9" s="2">
        <v>37.880000000000003</v>
      </c>
      <c r="H9" s="2"/>
      <c r="K9" s="2">
        <v>10</v>
      </c>
      <c r="L9" s="2">
        <f t="shared" si="0"/>
        <v>0.70371462264150941</v>
      </c>
      <c r="M9" s="2">
        <v>15</v>
      </c>
      <c r="N9" s="2">
        <f>D9:D19/33.92</f>
        <v>0.74616745283018859</v>
      </c>
      <c r="O9">
        <f t="shared" si="1"/>
        <v>1.116745283018868</v>
      </c>
    </row>
    <row r="10" spans="2:16" x14ac:dyDescent="0.35">
      <c r="C10" s="5">
        <v>23.88</v>
      </c>
      <c r="D10" s="2">
        <v>25.33</v>
      </c>
      <c r="E10" s="2"/>
      <c r="G10" s="2">
        <v>37.9</v>
      </c>
      <c r="H10" s="2"/>
      <c r="K10" s="2">
        <v>10</v>
      </c>
      <c r="L10" s="2">
        <f t="shared" si="0"/>
        <v>0.70400943396226412</v>
      </c>
      <c r="M10" s="2">
        <v>15</v>
      </c>
      <c r="N10" s="2">
        <f>D10:D20/33.92</f>
        <v>0.74675707547169801</v>
      </c>
      <c r="O10">
        <f t="shared" si="1"/>
        <v>1.1173349056603772</v>
      </c>
    </row>
    <row r="11" spans="2:16" x14ac:dyDescent="0.35">
      <c r="C11" s="4">
        <v>26.7</v>
      </c>
      <c r="D11" s="2">
        <v>25.65</v>
      </c>
      <c r="E11" s="2"/>
      <c r="G11" s="2">
        <v>37.93</v>
      </c>
      <c r="H11" s="2"/>
      <c r="K11" s="2">
        <v>10</v>
      </c>
      <c r="L11" s="2">
        <f t="shared" si="0"/>
        <v>0.78714622641509424</v>
      </c>
      <c r="M11" s="2">
        <v>15</v>
      </c>
      <c r="N11" s="2">
        <f>D11:D21/33.92</f>
        <v>0.75619103773584895</v>
      </c>
      <c r="O11">
        <f t="shared" si="1"/>
        <v>1.1182193396226414</v>
      </c>
    </row>
    <row r="12" spans="2:16" x14ac:dyDescent="0.35">
      <c r="C12" s="4">
        <v>27.79</v>
      </c>
      <c r="D12" s="2">
        <v>25.84</v>
      </c>
      <c r="E12" s="2"/>
      <c r="G12" s="2">
        <v>38.76</v>
      </c>
      <c r="H12" s="2"/>
      <c r="K12" s="2">
        <v>10</v>
      </c>
      <c r="L12" s="2">
        <f t="shared" si="0"/>
        <v>0.81928066037735847</v>
      </c>
      <c r="M12" s="2">
        <v>15</v>
      </c>
      <c r="N12" s="2">
        <f>D12:D22/33.92</f>
        <v>0.76179245283018859</v>
      </c>
      <c r="O12">
        <f t="shared" si="1"/>
        <v>1.1426886792452828</v>
      </c>
    </row>
    <row r="13" spans="2:16" x14ac:dyDescent="0.35">
      <c r="C13" s="4"/>
      <c r="D13" s="2">
        <v>26.65</v>
      </c>
      <c r="E13" s="2"/>
      <c r="G13" s="2">
        <v>39</v>
      </c>
      <c r="H13" s="2"/>
      <c r="K13" s="2">
        <v>10</v>
      </c>
      <c r="L13" s="2"/>
      <c r="M13" s="2">
        <v>15</v>
      </c>
      <c r="N13" s="2">
        <f>D13:D23/33.92</f>
        <v>0.78567216981132071</v>
      </c>
      <c r="O13">
        <f t="shared" si="1"/>
        <v>1.1497641509433962</v>
      </c>
    </row>
    <row r="14" spans="2:16" x14ac:dyDescent="0.35">
      <c r="C14" s="4"/>
      <c r="D14" s="2">
        <v>28.86</v>
      </c>
      <c r="E14" s="2"/>
      <c r="G14" s="2">
        <v>39.950000000000003</v>
      </c>
      <c r="H14" s="2"/>
      <c r="K14" s="2">
        <v>10</v>
      </c>
      <c r="M14" s="2">
        <v>15</v>
      </c>
      <c r="N14" s="2">
        <f>D14:D24/33.92</f>
        <v>0.85082547169811318</v>
      </c>
      <c r="O14">
        <f t="shared" si="1"/>
        <v>1.1777712264150944</v>
      </c>
    </row>
    <row r="15" spans="2:16" x14ac:dyDescent="0.35">
      <c r="C15" s="4"/>
      <c r="G15" s="2"/>
      <c r="H15" s="2"/>
      <c r="K15" s="2">
        <v>10</v>
      </c>
      <c r="M15" s="2">
        <v>15</v>
      </c>
      <c r="N15" s="2"/>
    </row>
    <row r="16" spans="2:16" x14ac:dyDescent="0.35">
      <c r="C16">
        <v>39.32</v>
      </c>
      <c r="D16">
        <v>30.6</v>
      </c>
      <c r="G16" s="2">
        <v>41.17</v>
      </c>
      <c r="H16" s="2">
        <v>39.24</v>
      </c>
      <c r="K16" s="2">
        <v>10</v>
      </c>
      <c r="L16">
        <f>C16:C20/45.98</f>
        <v>0.85515441496302746</v>
      </c>
      <c r="M16" s="2">
        <v>15</v>
      </c>
      <c r="N16" s="2">
        <f>D16:D18/45.98</f>
        <v>0.66550674206176608</v>
      </c>
      <c r="O16">
        <f>G16:G37/45.98</f>
        <v>0.89538929969551984</v>
      </c>
      <c r="P16">
        <f>H16:H43/45.98</f>
        <v>0.85341452805567652</v>
      </c>
    </row>
    <row r="17" spans="2:16" x14ac:dyDescent="0.35">
      <c r="C17">
        <v>39.71</v>
      </c>
      <c r="D17">
        <v>32.729999999999997</v>
      </c>
      <c r="G17" s="2">
        <v>41.6</v>
      </c>
      <c r="H17" s="2">
        <v>43.32</v>
      </c>
      <c r="K17" s="2">
        <v>10</v>
      </c>
      <c r="L17">
        <f t="shared" ref="L17:L20" si="3">C17:C21/45.98</f>
        <v>0.86363636363636376</v>
      </c>
      <c r="M17" s="2">
        <v>15</v>
      </c>
      <c r="N17" s="2">
        <f>D17:D19/45.98</f>
        <v>0.71183123096998691</v>
      </c>
      <c r="O17">
        <f>G17:G38/45.98</f>
        <v>0.90474119182253165</v>
      </c>
      <c r="P17">
        <f t="shared" ref="P17:P42" si="4">H17:H44/45.98</f>
        <v>0.94214876033057859</v>
      </c>
    </row>
    <row r="18" spans="2:16" x14ac:dyDescent="0.35">
      <c r="B18">
        <v>40</v>
      </c>
      <c r="C18">
        <v>40.840000000000003</v>
      </c>
      <c r="D18">
        <v>33.659999999999997</v>
      </c>
      <c r="G18" s="2">
        <v>41.61</v>
      </c>
      <c r="H18" s="2">
        <v>43.33</v>
      </c>
      <c r="J18">
        <v>45.98</v>
      </c>
      <c r="K18" s="2">
        <v>10</v>
      </c>
      <c r="L18">
        <f t="shared" si="3"/>
        <v>0.888212266202697</v>
      </c>
      <c r="M18" s="2">
        <v>15</v>
      </c>
      <c r="N18" s="2">
        <f>D18:D20/45.98</f>
        <v>0.73205741626794252</v>
      </c>
      <c r="O18">
        <f>G18:G39/45.98</f>
        <v>0.90495867768595051</v>
      </c>
      <c r="P18">
        <f t="shared" si="4"/>
        <v>0.94236624619399745</v>
      </c>
    </row>
    <row r="19" spans="2:16" x14ac:dyDescent="0.35">
      <c r="C19">
        <v>41.68</v>
      </c>
      <c r="G19" s="2">
        <v>42.01</v>
      </c>
      <c r="H19" s="2">
        <v>43.43</v>
      </c>
      <c r="K19" s="2">
        <v>10</v>
      </c>
      <c r="L19">
        <f t="shared" si="3"/>
        <v>0.90648107872988259</v>
      </c>
      <c r="M19" s="2">
        <v>15</v>
      </c>
      <c r="N19" s="2"/>
      <c r="O19">
        <f>G19:G40/45.98</f>
        <v>0.91365811222270554</v>
      </c>
      <c r="P19">
        <f t="shared" si="4"/>
        <v>0.94454110482818621</v>
      </c>
    </row>
    <row r="20" spans="2:16" x14ac:dyDescent="0.35">
      <c r="C20">
        <v>42.2</v>
      </c>
      <c r="G20" s="2">
        <v>42.23</v>
      </c>
      <c r="H20" s="2">
        <v>44.11</v>
      </c>
      <c r="K20" s="2">
        <v>10</v>
      </c>
      <c r="L20">
        <f t="shared" si="3"/>
        <v>0.91779034362766432</v>
      </c>
      <c r="M20" s="2">
        <v>15</v>
      </c>
      <c r="N20" s="2"/>
      <c r="O20">
        <f>G20:G41/45.98</f>
        <v>0.91844280121792088</v>
      </c>
      <c r="P20">
        <f t="shared" si="4"/>
        <v>0.95933014354066992</v>
      </c>
    </row>
    <row r="21" spans="2:16" x14ac:dyDescent="0.35">
      <c r="G21" s="2">
        <v>43.46</v>
      </c>
      <c r="H21" s="2">
        <v>44.94</v>
      </c>
      <c r="K21" s="2">
        <v>10</v>
      </c>
      <c r="M21" s="2">
        <v>15</v>
      </c>
      <c r="N21" s="2"/>
      <c r="O21">
        <f>G21:G42/45.98</f>
        <v>0.94519356241844288</v>
      </c>
      <c r="P21">
        <f t="shared" si="4"/>
        <v>0.97738147020443678</v>
      </c>
    </row>
    <row r="22" spans="2:16" x14ac:dyDescent="0.35">
      <c r="G22" s="2">
        <v>43.55</v>
      </c>
      <c r="H22" s="2">
        <v>45.07</v>
      </c>
      <c r="K22" s="2">
        <v>10</v>
      </c>
      <c r="M22" s="2">
        <v>15</v>
      </c>
      <c r="N22" s="2"/>
      <c r="O22">
        <f>G22:G43/45.98</f>
        <v>0.94715093518921267</v>
      </c>
      <c r="P22">
        <f t="shared" si="4"/>
        <v>0.98020878642888221</v>
      </c>
    </row>
    <row r="23" spans="2:16" x14ac:dyDescent="0.35">
      <c r="G23" s="2">
        <v>43.77</v>
      </c>
      <c r="H23" s="2">
        <v>45.29</v>
      </c>
      <c r="K23" s="2">
        <v>10</v>
      </c>
      <c r="M23" s="2">
        <v>15</v>
      </c>
      <c r="N23" s="2"/>
      <c r="O23">
        <f>G23:G44/45.98</f>
        <v>0.95193562418442812</v>
      </c>
      <c r="P23">
        <f t="shared" si="4"/>
        <v>0.98499347542409743</v>
      </c>
    </row>
    <row r="24" spans="2:16" x14ac:dyDescent="0.35">
      <c r="G24" s="2">
        <v>44.15</v>
      </c>
      <c r="H24" s="2">
        <v>45.53</v>
      </c>
      <c r="K24" s="2">
        <v>10</v>
      </c>
      <c r="M24" s="2">
        <v>15</v>
      </c>
      <c r="N24" s="2"/>
      <c r="O24">
        <f>G24:G45/45.98</f>
        <v>0.96020008699434545</v>
      </c>
      <c r="P24">
        <f t="shared" si="4"/>
        <v>0.99021313614615059</v>
      </c>
    </row>
    <row r="25" spans="2:16" x14ac:dyDescent="0.35">
      <c r="G25" s="2">
        <v>44.51</v>
      </c>
      <c r="H25" s="2">
        <v>45.55</v>
      </c>
      <c r="K25" s="2">
        <v>10</v>
      </c>
      <c r="M25" s="2">
        <v>15</v>
      </c>
      <c r="N25" s="2"/>
      <c r="O25">
        <f>G25:G46/45.98</f>
        <v>0.96802957807742496</v>
      </c>
      <c r="P25">
        <f t="shared" si="4"/>
        <v>0.99064810787298829</v>
      </c>
    </row>
    <row r="26" spans="2:16" x14ac:dyDescent="0.35">
      <c r="G26" s="2">
        <v>44.56</v>
      </c>
      <c r="H26" s="2">
        <v>45.68</v>
      </c>
      <c r="K26" s="2">
        <v>10</v>
      </c>
      <c r="M26" s="2">
        <v>15</v>
      </c>
      <c r="N26" s="2"/>
      <c r="O26">
        <f>G26:G47/45.98</f>
        <v>0.96911700739451945</v>
      </c>
      <c r="P26">
        <f t="shared" si="4"/>
        <v>0.99347542409743372</v>
      </c>
    </row>
    <row r="27" spans="2:16" x14ac:dyDescent="0.35">
      <c r="G27" s="2">
        <v>44.71</v>
      </c>
      <c r="H27" s="2">
        <v>45.94</v>
      </c>
      <c r="K27" s="2">
        <v>10</v>
      </c>
      <c r="M27" s="2">
        <v>15</v>
      </c>
      <c r="N27" s="2"/>
      <c r="O27">
        <f>G27:G48/45.98</f>
        <v>0.97237929534580259</v>
      </c>
      <c r="P27">
        <f t="shared" si="4"/>
        <v>0.99913005654632447</v>
      </c>
    </row>
    <row r="28" spans="2:16" x14ac:dyDescent="0.35">
      <c r="G28" s="2">
        <v>44.74</v>
      </c>
      <c r="H28" s="2">
        <v>46.06</v>
      </c>
      <c r="K28" s="2">
        <v>10</v>
      </c>
      <c r="M28" s="2">
        <v>15</v>
      </c>
      <c r="N28" s="2"/>
      <c r="O28">
        <f>G28:G49/45.98</f>
        <v>0.97303175293605926</v>
      </c>
      <c r="P28">
        <f t="shared" si="4"/>
        <v>1.0017398869073511</v>
      </c>
    </row>
    <row r="29" spans="2:16" x14ac:dyDescent="0.35">
      <c r="G29" s="2">
        <v>45.17</v>
      </c>
      <c r="H29" s="2">
        <v>46.22</v>
      </c>
      <c r="K29" s="2">
        <v>10</v>
      </c>
      <c r="M29" s="2">
        <v>15</v>
      </c>
      <c r="N29" s="2"/>
      <c r="O29">
        <f>G29:G50/45.98</f>
        <v>0.98238364506307096</v>
      </c>
      <c r="P29">
        <f t="shared" si="4"/>
        <v>1.0052196607220532</v>
      </c>
    </row>
    <row r="30" spans="2:16" x14ac:dyDescent="0.35">
      <c r="G30" s="2">
        <v>45.59</v>
      </c>
      <c r="H30" s="2">
        <v>46.25</v>
      </c>
      <c r="K30" s="2">
        <v>10</v>
      </c>
      <c r="M30" s="2">
        <v>15</v>
      </c>
      <c r="N30" s="2"/>
      <c r="O30">
        <f>G30:G51/45.98</f>
        <v>0.99151805132666393</v>
      </c>
      <c r="P30">
        <f t="shared" si="4"/>
        <v>1.0058721183123098</v>
      </c>
    </row>
    <row r="31" spans="2:16" x14ac:dyDescent="0.35">
      <c r="G31" s="2">
        <v>45.64</v>
      </c>
      <c r="H31" s="2">
        <v>46.36</v>
      </c>
      <c r="K31" s="2">
        <v>10</v>
      </c>
      <c r="M31" s="2">
        <v>15</v>
      </c>
      <c r="N31" s="2"/>
      <c r="O31">
        <f>G31:G52/45.98</f>
        <v>0.9926054806437582</v>
      </c>
      <c r="P31">
        <f t="shared" si="4"/>
        <v>1.0082644628099173</v>
      </c>
    </row>
    <row r="32" spans="2:16" x14ac:dyDescent="0.35">
      <c r="G32" s="2">
        <v>46.72</v>
      </c>
      <c r="H32" s="2">
        <v>46.77</v>
      </c>
      <c r="K32" s="2">
        <v>10</v>
      </c>
      <c r="M32" s="2">
        <v>15</v>
      </c>
      <c r="N32" s="2"/>
      <c r="O32">
        <f>G32:G53/45.98</f>
        <v>1.0160939538929969</v>
      </c>
      <c r="P32">
        <f t="shared" si="4"/>
        <v>1.0171813832100915</v>
      </c>
    </row>
    <row r="33" spans="2:16" x14ac:dyDescent="0.35">
      <c r="G33" s="2">
        <v>46.75</v>
      </c>
      <c r="H33" s="2">
        <v>46.8</v>
      </c>
      <c r="K33" s="2">
        <v>10</v>
      </c>
      <c r="M33" s="2">
        <v>15</v>
      </c>
      <c r="N33" s="2"/>
      <c r="O33">
        <f>G33:G54/45.98</f>
        <v>1.0167464114832536</v>
      </c>
      <c r="P33">
        <f t="shared" si="4"/>
        <v>1.017833840800348</v>
      </c>
    </row>
    <row r="34" spans="2:16" x14ac:dyDescent="0.35">
      <c r="G34" s="2">
        <v>47.77</v>
      </c>
      <c r="H34" s="2">
        <v>46.87</v>
      </c>
      <c r="K34" s="2">
        <v>10</v>
      </c>
      <c r="M34" s="2">
        <v>15</v>
      </c>
      <c r="N34" s="2"/>
      <c r="O34">
        <f>G34:G55/45.98</f>
        <v>1.0389299695519794</v>
      </c>
      <c r="P34">
        <f t="shared" si="4"/>
        <v>1.0193562418442801</v>
      </c>
    </row>
    <row r="35" spans="2:16" x14ac:dyDescent="0.35">
      <c r="G35" s="2">
        <v>48.12</v>
      </c>
      <c r="H35" s="2">
        <v>47.17</v>
      </c>
      <c r="K35" s="2">
        <v>10</v>
      </c>
      <c r="M35" s="2">
        <v>15</v>
      </c>
      <c r="N35" s="2"/>
      <c r="O35">
        <f>G35:G56/45.98</f>
        <v>1.0465419747716398</v>
      </c>
      <c r="P35">
        <f t="shared" si="4"/>
        <v>1.0258808177468466</v>
      </c>
    </row>
    <row r="36" spans="2:16" x14ac:dyDescent="0.35">
      <c r="G36" s="2">
        <v>48.55</v>
      </c>
      <c r="H36" s="2">
        <v>47.17</v>
      </c>
      <c r="K36" s="2">
        <v>10</v>
      </c>
      <c r="M36" s="2">
        <v>15</v>
      </c>
      <c r="N36" s="2"/>
      <c r="O36">
        <f>G36:G57/45.98</f>
        <v>1.0558938668986515</v>
      </c>
      <c r="P36">
        <f t="shared" si="4"/>
        <v>1.0258808177468466</v>
      </c>
    </row>
    <row r="37" spans="2:16" x14ac:dyDescent="0.35">
      <c r="G37" s="2">
        <v>48.64</v>
      </c>
      <c r="H37" s="2">
        <v>47.35</v>
      </c>
      <c r="K37" s="2">
        <v>10</v>
      </c>
      <c r="M37" s="2">
        <v>15</v>
      </c>
      <c r="N37" s="2"/>
      <c r="O37">
        <f>G37:G58/45.98</f>
        <v>1.0578512396694215</v>
      </c>
      <c r="P37">
        <f t="shared" si="4"/>
        <v>1.0297955632883864</v>
      </c>
    </row>
    <row r="38" spans="2:16" x14ac:dyDescent="0.35">
      <c r="G38" s="2"/>
      <c r="H38" s="2">
        <v>47.46</v>
      </c>
      <c r="K38" s="2">
        <v>10</v>
      </c>
      <c r="M38" s="2">
        <v>15</v>
      </c>
      <c r="N38" s="2"/>
      <c r="P38">
        <f t="shared" si="4"/>
        <v>1.0321879077859939</v>
      </c>
    </row>
    <row r="39" spans="2:16" x14ac:dyDescent="0.35">
      <c r="G39" s="2"/>
      <c r="H39" s="2">
        <v>47.47</v>
      </c>
      <c r="K39" s="2">
        <v>10</v>
      </c>
      <c r="L39" s="2"/>
      <c r="M39" s="2">
        <v>15</v>
      </c>
      <c r="N39" s="2"/>
      <c r="O39" s="2"/>
      <c r="P39">
        <f t="shared" si="4"/>
        <v>1.0324053936494129</v>
      </c>
    </row>
    <row r="40" spans="2:16" x14ac:dyDescent="0.35">
      <c r="G40" s="2"/>
      <c r="H40" s="2">
        <v>48.21</v>
      </c>
      <c r="K40" s="2">
        <v>10</v>
      </c>
      <c r="M40" s="2">
        <v>15</v>
      </c>
      <c r="N40" s="2"/>
      <c r="O40" s="2"/>
      <c r="P40">
        <f t="shared" si="4"/>
        <v>1.0484993475424098</v>
      </c>
    </row>
    <row r="41" spans="2:16" x14ac:dyDescent="0.35">
      <c r="H41" s="2">
        <v>48.24</v>
      </c>
      <c r="K41" s="2">
        <v>10</v>
      </c>
      <c r="M41" s="2">
        <v>15</v>
      </c>
      <c r="N41" s="2"/>
      <c r="O41" s="2"/>
      <c r="P41">
        <f t="shared" si="4"/>
        <v>1.0491518051326665</v>
      </c>
    </row>
    <row r="42" spans="2:16" x14ac:dyDescent="0.35">
      <c r="H42" s="2">
        <v>48.64</v>
      </c>
      <c r="K42" s="2">
        <v>10</v>
      </c>
      <c r="M42" s="2">
        <v>15</v>
      </c>
      <c r="P42">
        <f t="shared" si="4"/>
        <v>1.0578512396694215</v>
      </c>
    </row>
    <row r="43" spans="2:16" x14ac:dyDescent="0.35">
      <c r="H43" s="2">
        <v>49.16</v>
      </c>
      <c r="K43" s="2">
        <v>10</v>
      </c>
      <c r="M43" s="2">
        <v>15</v>
      </c>
    </row>
    <row r="44" spans="2:16" x14ac:dyDescent="0.35">
      <c r="K44" s="2">
        <v>10</v>
      </c>
      <c r="M44" s="2">
        <v>15</v>
      </c>
      <c r="O44" s="2"/>
    </row>
    <row r="45" spans="2:16" x14ac:dyDescent="0.35">
      <c r="G45" s="2">
        <v>49.61</v>
      </c>
      <c r="H45" s="2">
        <v>49.53</v>
      </c>
      <c r="K45" s="2">
        <v>10</v>
      </c>
      <c r="M45" s="2">
        <v>15</v>
      </c>
      <c r="O45" s="2">
        <f>G45:G48/53.81</f>
        <v>0.92194759338412935</v>
      </c>
      <c r="P45">
        <f>H45:H48/53.81</f>
        <v>0.92046088087716038</v>
      </c>
    </row>
    <row r="46" spans="2:16" x14ac:dyDescent="0.35">
      <c r="G46" s="2">
        <v>54.33</v>
      </c>
      <c r="H46" s="2">
        <v>50.53</v>
      </c>
      <c r="J46">
        <v>53.81</v>
      </c>
      <c r="K46" s="2">
        <v>10</v>
      </c>
      <c r="M46" s="2">
        <v>15</v>
      </c>
      <c r="O46" s="2">
        <f t="shared" ref="O46:O48" si="5">G46:G49/53.81</f>
        <v>1.0096636312952982</v>
      </c>
      <c r="P46">
        <f t="shared" ref="P46:P48" si="6">H46:H49/53.81</f>
        <v>0.93904478721427243</v>
      </c>
    </row>
    <row r="47" spans="2:16" x14ac:dyDescent="0.35">
      <c r="B47">
        <v>50</v>
      </c>
      <c r="G47" s="2">
        <v>55.04</v>
      </c>
      <c r="H47" s="2">
        <v>57.36</v>
      </c>
      <c r="K47" s="2">
        <v>10</v>
      </c>
      <c r="M47" s="2">
        <v>15</v>
      </c>
      <c r="O47" s="2">
        <f t="shared" si="5"/>
        <v>1.0228582047946477</v>
      </c>
      <c r="P47">
        <f t="shared" si="6"/>
        <v>1.0659728674967477</v>
      </c>
    </row>
    <row r="48" spans="2:16" x14ac:dyDescent="0.35">
      <c r="G48" s="2">
        <v>55.52</v>
      </c>
      <c r="H48" s="2">
        <v>57.82</v>
      </c>
      <c r="K48" s="2">
        <v>10</v>
      </c>
      <c r="M48" s="2">
        <v>15</v>
      </c>
      <c r="O48" s="2">
        <f t="shared" si="5"/>
        <v>1.0317784798364615</v>
      </c>
      <c r="P48">
        <f t="shared" si="6"/>
        <v>1.0745214644118193</v>
      </c>
    </row>
    <row r="49" spans="2:16" x14ac:dyDescent="0.35">
      <c r="K49" s="2">
        <v>10</v>
      </c>
      <c r="M49" s="2">
        <v>15</v>
      </c>
      <c r="O49" s="2"/>
    </row>
    <row r="50" spans="2:16" x14ac:dyDescent="0.35">
      <c r="G50" s="2">
        <v>60.3</v>
      </c>
      <c r="H50" s="2">
        <v>61.81</v>
      </c>
      <c r="K50" s="2">
        <v>10</v>
      </c>
      <c r="M50" s="2">
        <v>15</v>
      </c>
      <c r="O50" s="2">
        <f>G50:G51/65.68</f>
        <v>0.9180876979293543</v>
      </c>
      <c r="P50">
        <f>H50:H53/65.68</f>
        <v>0.94107795371498171</v>
      </c>
    </row>
    <row r="51" spans="2:16" x14ac:dyDescent="0.35">
      <c r="B51">
        <v>60</v>
      </c>
      <c r="G51" s="2">
        <v>60.46</v>
      </c>
      <c r="H51" s="2">
        <v>63.04</v>
      </c>
      <c r="K51" s="2">
        <v>10</v>
      </c>
      <c r="M51" s="2">
        <v>15</v>
      </c>
      <c r="O51" s="2">
        <f>G51:G52/65.68</f>
        <v>0.92052375152253341</v>
      </c>
      <c r="P51">
        <f>H51:H54/65.68</f>
        <v>0.95980511571254556</v>
      </c>
    </row>
    <row r="52" spans="2:16" x14ac:dyDescent="0.35">
      <c r="H52" s="2">
        <v>67.489999999999995</v>
      </c>
      <c r="J52">
        <v>65.680000000000007</v>
      </c>
      <c r="K52" s="2">
        <v>10</v>
      </c>
      <c r="M52" s="2">
        <v>15</v>
      </c>
      <c r="P52">
        <f>H52:H55/65.68</f>
        <v>1.0275578562728378</v>
      </c>
    </row>
    <row r="53" spans="2:16" x14ac:dyDescent="0.35">
      <c r="H53" s="2">
        <v>70.41</v>
      </c>
      <c r="K53" s="2">
        <v>10</v>
      </c>
      <c r="M53" s="2">
        <v>15</v>
      </c>
      <c r="P53">
        <f>H53:H56/65.68</f>
        <v>1.0720158343483555</v>
      </c>
    </row>
  </sheetData>
  <sortState xmlns:xlrd2="http://schemas.microsoft.com/office/spreadsheetml/2017/richdata2" ref="H4:H40">
    <sortCondition ref="H4:H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pvysh</cp:lastModifiedBy>
  <dcterms:created xsi:type="dcterms:W3CDTF">2017-03-14T08:51:45Z</dcterms:created>
  <dcterms:modified xsi:type="dcterms:W3CDTF">2021-11-03T07:17:27Z</dcterms:modified>
</cp:coreProperties>
</file>